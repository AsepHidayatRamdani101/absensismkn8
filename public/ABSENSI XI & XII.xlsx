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laragon\www\absensismkn8\public\"/>
    </mc:Choice>
  </mc:AlternateContent>
  <xr:revisionPtr revIDLastSave="0" documentId="13_ncr:1_{30FE3D45-B279-49C3-B884-70050437BC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" sheetId="43" r:id="rId1"/>
    <sheet name="XI" sheetId="42" r:id="rId2"/>
    <sheet name="XII" sheetId="4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52" i="42" l="1"/>
  <c r="E651" i="42"/>
  <c r="E488" i="42"/>
  <c r="E487" i="42"/>
  <c r="E739" i="42"/>
  <c r="E738" i="42"/>
  <c r="E568" i="40"/>
  <c r="E567" i="40"/>
  <c r="E501" i="40"/>
  <c r="E500" i="40"/>
  <c r="E438" i="40"/>
  <c r="E439" i="40"/>
  <c r="E372" i="40"/>
  <c r="E371" i="40"/>
  <c r="E226" i="40"/>
  <c r="E225" i="40"/>
  <c r="E905" i="42"/>
  <c r="E906" i="42"/>
  <c r="E1164" i="43"/>
  <c r="E1163" i="43"/>
  <c r="E1079" i="43"/>
  <c r="E1078" i="43"/>
  <c r="E995" i="43"/>
  <c r="E994" i="43"/>
  <c r="E910" i="43"/>
  <c r="E909" i="43"/>
  <c r="E824" i="43"/>
  <c r="E823" i="43"/>
  <c r="E740" i="43"/>
  <c r="E739" i="43"/>
  <c r="E656" i="43"/>
  <c r="E655" i="43"/>
  <c r="E573" i="43"/>
  <c r="E572" i="43"/>
  <c r="E486" i="43"/>
  <c r="E485" i="43"/>
  <c r="E403" i="43"/>
  <c r="E402" i="43"/>
  <c r="E317" i="43"/>
  <c r="E316" i="43"/>
  <c r="E231" i="43"/>
  <c r="E230" i="43"/>
  <c r="E229" i="43" s="1"/>
  <c r="E146" i="43"/>
  <c r="E145" i="43"/>
  <c r="E62" i="43"/>
  <c r="E61" i="43"/>
  <c r="E502" i="40" l="1"/>
  <c r="E653" i="42"/>
  <c r="E489" i="42"/>
  <c r="E401" i="43"/>
  <c r="E740" i="42"/>
  <c r="E315" i="43"/>
  <c r="E60" i="43"/>
  <c r="E822" i="43"/>
  <c r="E484" i="43"/>
  <c r="E993" i="43"/>
  <c r="E571" i="43"/>
  <c r="E1077" i="43"/>
  <c r="E144" i="43"/>
  <c r="E654" i="43"/>
  <c r="E1162" i="43"/>
  <c r="E440" i="40"/>
  <c r="E908" i="43"/>
  <c r="E738" i="43"/>
  <c r="E306" i="40"/>
  <c r="E307" i="40"/>
  <c r="E401" i="42"/>
  <c r="E402" i="42"/>
  <c r="E316" i="42"/>
  <c r="E317" i="42"/>
  <c r="E142" i="42"/>
  <c r="E229" i="42"/>
  <c r="E227" i="40"/>
  <c r="E308" i="40" l="1"/>
  <c r="E403" i="42"/>
  <c r="E48" i="40" l="1"/>
  <c r="E49" i="40"/>
  <c r="E166" i="40"/>
  <c r="E629" i="40"/>
  <c r="E630" i="40"/>
  <c r="E711" i="40"/>
  <c r="E712" i="40"/>
  <c r="E631" i="40" l="1"/>
  <c r="E713" i="40"/>
  <c r="E823" i="42"/>
  <c r="E822" i="42"/>
  <c r="E567" i="42"/>
  <c r="E566" i="42"/>
  <c r="E230" i="42"/>
  <c r="E143" i="42"/>
  <c r="E62" i="42"/>
  <c r="E61" i="42"/>
  <c r="E568" i="42" l="1"/>
  <c r="E63" i="42"/>
  <c r="E231" i="42"/>
  <c r="E144" i="42"/>
  <c r="E318" i="42"/>
</calcChain>
</file>

<file path=xl/sharedStrings.xml><?xml version="1.0" encoding="utf-8"?>
<sst xmlns="http://schemas.openxmlformats.org/spreadsheetml/2006/main" count="4687" uniqueCount="2636">
  <si>
    <t>SEMESTER GANJIL/GENAP</t>
  </si>
  <si>
    <t>NO</t>
  </si>
  <si>
    <t>NIS</t>
  </si>
  <si>
    <t>L/P</t>
  </si>
  <si>
    <t>TANGGAL PERTEMUAN</t>
  </si>
  <si>
    <t>JML</t>
  </si>
  <si>
    <t>S</t>
  </si>
  <si>
    <t>I</t>
  </si>
  <si>
    <t>A</t>
  </si>
  <si>
    <t>L</t>
  </si>
  <si>
    <t>LAKI-LAKI</t>
  </si>
  <si>
    <t>PEREMPUAN</t>
  </si>
  <si>
    <t>Mengetahui</t>
  </si>
  <si>
    <t>Kepala SMKN 8  Garut</t>
  </si>
  <si>
    <t>Guru Mata Pelajaran</t>
  </si>
  <si>
    <t>P</t>
  </si>
  <si>
    <t>................................</t>
  </si>
  <si>
    <t>NIP/NUPTK.</t>
  </si>
  <si>
    <t>NISN</t>
  </si>
  <si>
    <t>MUHAMMAD ARDIANSYAH</t>
  </si>
  <si>
    <t>RIZKI RAMDANI</t>
  </si>
  <si>
    <t>:</t>
  </si>
  <si>
    <t xml:space="preserve"> </t>
  </si>
  <si>
    <t>AGUNG GUMELAR</t>
  </si>
  <si>
    <t>AGUS DENI PERMANA</t>
  </si>
  <si>
    <t>AJRIL ILHAM SIROJUDIN</t>
  </si>
  <si>
    <t>ALDI MUHAMAD RIDWAN</t>
  </si>
  <si>
    <t>BAGAS INDRA RUSMANA</t>
  </si>
  <si>
    <t>BAYU ALFIANSAH</t>
  </si>
  <si>
    <t>DAFFA ADITIA</t>
  </si>
  <si>
    <t>DAFFA FAUZAN RAMADHANY</t>
  </si>
  <si>
    <t>EKA RAMDANI SETIAWAN</t>
  </si>
  <si>
    <t>ENCEP RAHMADANI</t>
  </si>
  <si>
    <t>FAHRI AHMAD ISMAIL</t>
  </si>
  <si>
    <t>GALIH JIBRIEL RAMADHAN</t>
  </si>
  <si>
    <t>HAIKAL MUHAMAD ANWAR</t>
  </si>
  <si>
    <t>IKHSAN ABDUL ROHMAN</t>
  </si>
  <si>
    <t>ILHAM ABDUL RAHMAN</t>
  </si>
  <si>
    <t>ILHAM AULIA AFANDI</t>
  </si>
  <si>
    <t>LALAN MAULANI</t>
  </si>
  <si>
    <t>MUHAMAD ABDUL AZIZ</t>
  </si>
  <si>
    <t>MUHAMAD HIKBAL HANAPI</t>
  </si>
  <si>
    <t>MUHAMAD NABIEL TAUFIQIL HAKIM</t>
  </si>
  <si>
    <t>MUHAMMAD WILDAN</t>
  </si>
  <si>
    <t>NABIL MUHAMMAD RIZQI</t>
  </si>
  <si>
    <t>PARHAN PADILAH</t>
  </si>
  <si>
    <t>RAPI ABDUL AZIZ</t>
  </si>
  <si>
    <t>REAL CAESAR FIKHSA UTAMA</t>
  </si>
  <si>
    <t>SAEPUL</t>
  </si>
  <si>
    <t>TATANG HIDAYAT</t>
  </si>
  <si>
    <t>WIKI AZI FAISAL GUNAWAN</t>
  </si>
  <si>
    <t>ALDI SAPUTRA</t>
  </si>
  <si>
    <t>ANDI RAMDAN</t>
  </si>
  <si>
    <t>ANDIKA RAMDAN</t>
  </si>
  <si>
    <t>BAYU NUGRAHA</t>
  </si>
  <si>
    <t>DANIEL MAULIDAN</t>
  </si>
  <si>
    <t>DEDE FAHRI</t>
  </si>
  <si>
    <t>DEDE SAYFUL MAULANA</t>
  </si>
  <si>
    <t>DENDA ROHMANA</t>
  </si>
  <si>
    <t>FAJAR</t>
  </si>
  <si>
    <t>FAJAR HIDAYAT</t>
  </si>
  <si>
    <t>GUGUN GUNAWAN</t>
  </si>
  <si>
    <t>HENDI HIDAYAT</t>
  </si>
  <si>
    <t>IRWANDI</t>
  </si>
  <si>
    <t>MUHAMAD DAVA ALPARIZKI</t>
  </si>
  <si>
    <t>MUHAMAD FIRLI ALKAHPI</t>
  </si>
  <si>
    <t>MUHAMAD HAIKAL</t>
  </si>
  <si>
    <t>MUHAMAD RAMDANI</t>
  </si>
  <si>
    <t>MUHAMAD RIZKI RIPALDI</t>
  </si>
  <si>
    <t>MUHAMAD TEGUH PRAYOGA</t>
  </si>
  <si>
    <t>MUHAMAD YASIN ARDIANSYAH</t>
  </si>
  <si>
    <t>MUHAMMAD ALDIYANSYAH</t>
  </si>
  <si>
    <t>MUHAMMAD ARIFDRIANSYAH</t>
  </si>
  <si>
    <t>NAUVAL MUBAROK</t>
  </si>
  <si>
    <t>RAMA JAGANDI</t>
  </si>
  <si>
    <t>RENDI RIADI</t>
  </si>
  <si>
    <t>RESYA ARDANI</t>
  </si>
  <si>
    <t>REZA FEBRIANSYAH</t>
  </si>
  <si>
    <t>SANDI RIPALDI</t>
  </si>
  <si>
    <t>TAUFIQ NUR AGUSTINA</t>
  </si>
  <si>
    <t>ANGGA FASYA DHIKA PRATAMA</t>
  </si>
  <si>
    <t>ARI</t>
  </si>
  <si>
    <t>ARYA M FAZRIL</t>
  </si>
  <si>
    <t>AZWAN ABDUL ROZAB</t>
  </si>
  <si>
    <t>BILLAL FADILAH</t>
  </si>
  <si>
    <t>DENIS ALDIANSYAH</t>
  </si>
  <si>
    <t>FAJAR SHOLEHNURDIN</t>
  </si>
  <si>
    <t>FAREL DWI APRILIANA PUTRA</t>
  </si>
  <si>
    <t>FAUZAN RAY GUMELAR</t>
  </si>
  <si>
    <t>GUNTUR HERYANTO</t>
  </si>
  <si>
    <t>HILMI MULYANA</t>
  </si>
  <si>
    <t>ISMAM SAJIDIN</t>
  </si>
  <si>
    <t>JENAL DANIANSYAH MUHTAR</t>
  </si>
  <si>
    <t>MUHAMMAD FAZRI</t>
  </si>
  <si>
    <t>MUHAMMAD IQBAL</t>
  </si>
  <si>
    <t>MUHAMAD RAIHAN SOPPIANSYAH</t>
  </si>
  <si>
    <t>NOPA SOPANDI</t>
  </si>
  <si>
    <t>PANCA WIGUNA UTAMA</t>
  </si>
  <si>
    <t>PERI RIANTO</t>
  </si>
  <si>
    <t>RIKI AHMAD RAMADANI</t>
  </si>
  <si>
    <t>RIO MARIO</t>
  </si>
  <si>
    <t>RIZVAN FEBRIAN</t>
  </si>
  <si>
    <t>SIHABBUDIN</t>
  </si>
  <si>
    <t>TISNA HERLAMBANG</t>
  </si>
  <si>
    <t>ZIYAN MUHAMAD SHIDQI</t>
  </si>
  <si>
    <t>ADITYA GUNAWAN</t>
  </si>
  <si>
    <t>AHMAD RAMADANI</t>
  </si>
  <si>
    <t>AMELIA PUTRI</t>
  </si>
  <si>
    <t>AHMAD SHALEH GUNTARA</t>
  </si>
  <si>
    <t>ALDI FEBRIYANSYAH</t>
  </si>
  <si>
    <t>ALDI HERDIANSAH</t>
  </si>
  <si>
    <t>ALDI MAULANA YUSUF</t>
  </si>
  <si>
    <t>ARMAN MAULANA</t>
  </si>
  <si>
    <t>BAGJA LUTFI ALIFA HAKIM</t>
  </si>
  <si>
    <t>DAPA YUDA ALPAZRI</t>
  </si>
  <si>
    <t>DEA NAILA WATI</t>
  </si>
  <si>
    <t>DESTIAN MUHAMAD FAUZI</t>
  </si>
  <si>
    <t>ELSA RAMADHANI</t>
  </si>
  <si>
    <t>FEBRIAN SAFANA</t>
  </si>
  <si>
    <t>GINA NUR SITI AZIZAH</t>
  </si>
  <si>
    <t>IHSAN ABDULAH</t>
  </si>
  <si>
    <t>MOCH. FAIZHAL</t>
  </si>
  <si>
    <t>NENDAH FARIDAH</t>
  </si>
  <si>
    <t>NOVAL NAZRIL JUANA</t>
  </si>
  <si>
    <t>PANISA HIKMAH TIAR</t>
  </si>
  <si>
    <t>RAHMA KENIA NURFADILAH</t>
  </si>
  <si>
    <t>RAKA PUTRA PRATAMA</t>
  </si>
  <si>
    <t>RENDI AGUSTINA</t>
  </si>
  <si>
    <t>SITI SOBARIAH</t>
  </si>
  <si>
    <t>SINTA AULIA</t>
  </si>
  <si>
    <t>SHAILLA SALSA BILA</t>
  </si>
  <si>
    <t>TRIAN NUGRAHA</t>
  </si>
  <si>
    <t xml:space="preserve">ABSENSI SISWA </t>
  </si>
  <si>
    <t>KELAS</t>
  </si>
  <si>
    <t xml:space="preserve">MATA PELAJARAN </t>
  </si>
  <si>
    <t xml:space="preserve">: </t>
  </si>
  <si>
    <t xml:space="preserve">WALI KELAS         </t>
  </si>
  <si>
    <t>NAMA SISWA</t>
  </si>
  <si>
    <t xml:space="preserve">                        18  = Angkatan</t>
  </si>
  <si>
    <t xml:space="preserve">                      221  = Kode Program dan Konsentrasi Keahlian TKR</t>
  </si>
  <si>
    <t xml:space="preserve">                      001  = nomor urut Absen</t>
  </si>
  <si>
    <t>AHMAD RIFA'I</t>
  </si>
  <si>
    <t>ALGA GIAN AGUSTIN</t>
  </si>
  <si>
    <t>ALIF YUDISTIRA</t>
  </si>
  <si>
    <t>ALIT HENDAR M FATURAHMAN</t>
  </si>
  <si>
    <t>AMIRA ARDIA</t>
  </si>
  <si>
    <t>ANAS ILHAB</t>
  </si>
  <si>
    <t>ANDIKA YUDISTIRA</t>
  </si>
  <si>
    <t>BAGJA RODINI</t>
  </si>
  <si>
    <t>DERIZKI</t>
  </si>
  <si>
    <t>DEVANI ELLYSA THALITA SARI</t>
  </si>
  <si>
    <t>DEVI SAPUTRA</t>
  </si>
  <si>
    <t>FAHRI PAUJI</t>
  </si>
  <si>
    <t>FIRDA HIDAYATUL AGNIA</t>
  </si>
  <si>
    <t>HARIS SULANJANA</t>
  </si>
  <si>
    <t>IMAY MAELANI</t>
  </si>
  <si>
    <t>M FAREL ANDIKA PURWANTO</t>
  </si>
  <si>
    <t>MUHAMAD KIKY FIRMANSYAH</t>
  </si>
  <si>
    <t>MUHAMAD REXI APRIAN</t>
  </si>
  <si>
    <t>MUHAMAD RIPKI AL JAUHARI</t>
  </si>
  <si>
    <t>MUHAMAD SIGIT PERMANA</t>
  </si>
  <si>
    <t>MUHAMMAD AKBAR MULIA</t>
  </si>
  <si>
    <t>NAZWA ALIFAH</t>
  </si>
  <si>
    <t>NENG TIPA RAHMAWATI</t>
  </si>
  <si>
    <t>NIKEN RATU AYU PRATIWI</t>
  </si>
  <si>
    <t>PUTRA ADRIAN</t>
  </si>
  <si>
    <t>RESA SUBAGJA</t>
  </si>
  <si>
    <t>REZA ADRIAN</t>
  </si>
  <si>
    <t>RIAN APRIANSYAH</t>
  </si>
  <si>
    <t>SINDY SILVIA</t>
  </si>
  <si>
    <t>SINGGIH HANRA PURNAMA</t>
  </si>
  <si>
    <t>TYAS NUR BAROKAH</t>
  </si>
  <si>
    <t>YUSUF PERMANA</t>
  </si>
  <si>
    <t>ARI FIRMANSAH</t>
  </si>
  <si>
    <t>ARIS LESMANA</t>
  </si>
  <si>
    <t>ARPHAN MAULANA</t>
  </si>
  <si>
    <t>ASEP SAPUTRA</t>
  </si>
  <si>
    <t>ASMIRANDA NURSAFITRI</t>
  </si>
  <si>
    <t>AZIZ AHMAD SAEPURROHMAN</t>
  </si>
  <si>
    <t>DANDI HERMAWAN</t>
  </si>
  <si>
    <t>DEWI SITI PATIMAH</t>
  </si>
  <si>
    <t>DINI</t>
  </si>
  <si>
    <t>DIVA NUR HAPIPAH</t>
  </si>
  <si>
    <t>DONI ANGGARA</t>
  </si>
  <si>
    <t>GANI HARDIANSYAH</t>
  </si>
  <si>
    <t>ICA JULFA HERAWATI</t>
  </si>
  <si>
    <t>IWAN IRPAWAN</t>
  </si>
  <si>
    <t>LAYLA AL AFIFAH</t>
  </si>
  <si>
    <t>M.RIZKY HENDARSYAH</t>
  </si>
  <si>
    <t>MUHAMMAD JENAL</t>
  </si>
  <si>
    <t>MUHAMMAD NURDIANSAH</t>
  </si>
  <si>
    <t>MUHAMMAD QAWIYUL MATIN</t>
  </si>
  <si>
    <t>NUR ANISA</t>
  </si>
  <si>
    <t>PUTRI AYU SUNDARI</t>
  </si>
  <si>
    <t>RIFANDI NUGRAHA</t>
  </si>
  <si>
    <t>RIRIN FITRIA</t>
  </si>
  <si>
    <t>RIZKY ADITIYA KOSWARA</t>
  </si>
  <si>
    <t>ROMI RAMDANI</t>
  </si>
  <si>
    <t>SITI NURSIFA</t>
  </si>
  <si>
    <t>SITI SARAH GARNIASIH</t>
  </si>
  <si>
    <t>YAYAN SOPIYAN</t>
  </si>
  <si>
    <t>YUSRIEL MIFTAHUDDIN FIRDAUS</t>
  </si>
  <si>
    <t>AGIS NUHA JAUHARI</t>
  </si>
  <si>
    <t>AI PATMAWATI</t>
  </si>
  <si>
    <t>ADELLA PUTRI ATMALIA</t>
  </si>
  <si>
    <t>ADINDA MAHARANI</t>
  </si>
  <si>
    <t>ALYA MAULIDA</t>
  </si>
  <si>
    <t>ANDIKA SURYA LESMANA</t>
  </si>
  <si>
    <t>ANDREA MAULIDAN</t>
  </si>
  <si>
    <t>ANGGI PUTRI NOVIRIANTI</t>
  </si>
  <si>
    <t>DENIA AFRILIANI</t>
  </si>
  <si>
    <t>DESKA SAPUTRA</t>
  </si>
  <si>
    <t>ERNI KUSMIATI</t>
  </si>
  <si>
    <t>FITRI LESTARI</t>
  </si>
  <si>
    <t>HENDRI HARULAH</t>
  </si>
  <si>
    <t>KAMALUDIN</t>
  </si>
  <si>
    <t>KHERIN INDRIYANTI</t>
  </si>
  <si>
    <t>LAILA SRI RAHAYU</t>
  </si>
  <si>
    <t>MILAN MAULIDIN SOBIRIN</t>
  </si>
  <si>
    <t>MOHAMAD NUR ADIANSYAH</t>
  </si>
  <si>
    <t>MUHAMAD RIZKI</t>
  </si>
  <si>
    <t>NAZWA NURIL MAULIDA</t>
  </si>
  <si>
    <t>NENG QURROTA AYUN</t>
  </si>
  <si>
    <t>OVI JULIANA</t>
  </si>
  <si>
    <t>PAREL AGUSTIN SAPUTRA</t>
  </si>
  <si>
    <t>PUTIH RAHAYU GIANDISTI</t>
  </si>
  <si>
    <t>REHAN SUGANDI</t>
  </si>
  <si>
    <t>RESA NURASYAH</t>
  </si>
  <si>
    <t>RESTU FARDAN RAMADHAN</t>
  </si>
  <si>
    <t>REVA LUSI SITI AGUSTIN</t>
  </si>
  <si>
    <t>RIDAN MUNPARIZ</t>
  </si>
  <si>
    <t>RIFA AISYAH</t>
  </si>
  <si>
    <t>TRESNA MAULANA</t>
  </si>
  <si>
    <t>VIKKA DINDA MAHARANI</t>
  </si>
  <si>
    <t>WINDI ANGGRAENI</t>
  </si>
  <si>
    <t>YUVI ANDINI</t>
  </si>
  <si>
    <t>ANNISYA NUR INDAH</t>
  </si>
  <si>
    <t>ANWAR ABDUROHMAN</t>
  </si>
  <si>
    <t>ALYA KHOERUNNISA</t>
  </si>
  <si>
    <t>ARDAN RAHMAN SETIAWAN</t>
  </si>
  <si>
    <t>ARDI SURYA PRATAMA</t>
  </si>
  <si>
    <t>CUCU SUMIRAH</t>
  </si>
  <si>
    <t>DIKA ZATMIKA</t>
  </si>
  <si>
    <t>DINDA PERMATA SARI</t>
  </si>
  <si>
    <t>DIRA APRILLIA</t>
  </si>
  <si>
    <t>FERDI ARDIANSYAH</t>
  </si>
  <si>
    <t>GIANNINA LARAS PRAMESWARI</t>
  </si>
  <si>
    <t>HAMDAN SATRIA</t>
  </si>
  <si>
    <t>JEN STEPANI</t>
  </si>
  <si>
    <t>JIWA HARIRI</t>
  </si>
  <si>
    <t>KASIH APRIYANTI</t>
  </si>
  <si>
    <t>MUHAMAD RIZKI PRATAMA</t>
  </si>
  <si>
    <t>MUHAMAD ZILLAN ATYA RIZQI</t>
  </si>
  <si>
    <t>MUHAMMAD DAVID AZKIA</t>
  </si>
  <si>
    <t>NABILA AMELIA</t>
  </si>
  <si>
    <t>NENG SITI AMELIA</t>
  </si>
  <si>
    <t>NIKO ADAM SANJAYA</t>
  </si>
  <si>
    <t>NURUL FATIMAH</t>
  </si>
  <si>
    <t>OKTANIA DWI SAFIRA</t>
  </si>
  <si>
    <t>RICKY PRADITA</t>
  </si>
  <si>
    <t>RIFA NUR AZIZAH</t>
  </si>
  <si>
    <t>RISKA INDRIYANI</t>
  </si>
  <si>
    <t>RONI GUMELAR</t>
  </si>
  <si>
    <t>SENI SRI RAHAYU</t>
  </si>
  <si>
    <t>SHABRYAN JULY AT THORIQ</t>
  </si>
  <si>
    <t>SITI ANISA AGUSTINA</t>
  </si>
  <si>
    <t>TRIARA SUCI RAMADANI</t>
  </si>
  <si>
    <t>ZIHAN SAHIRA</t>
  </si>
  <si>
    <t>AJENG KARTINI</t>
  </si>
  <si>
    <t>ALZAHRA PUJIYANTI</t>
  </si>
  <si>
    <t>AMANDA ANDINI</t>
  </si>
  <si>
    <t>ARJUNA WIJAYA</t>
  </si>
  <si>
    <t>CHIKA OKTAPIANI</t>
  </si>
  <si>
    <t>CITRA DESTIANI</t>
  </si>
  <si>
    <t>CITRA YULIYANTI</t>
  </si>
  <si>
    <t>DANIA RAMADANI AGUSTIN</t>
  </si>
  <si>
    <t>DEA ARDILA</t>
  </si>
  <si>
    <t>ELA NURLAILAH</t>
  </si>
  <si>
    <t>FATIMAH AZZAHRA</t>
  </si>
  <si>
    <t>FATMA SA'BANIYA MARYAM</t>
  </si>
  <si>
    <t>HENHEN SOLEHAH</t>
  </si>
  <si>
    <t>INDAH AULA FAIZA</t>
  </si>
  <si>
    <t>KAILLA KHAIRUNNISA</t>
  </si>
  <si>
    <t>MELINDA</t>
  </si>
  <si>
    <t>NAZWA SUCI AISYAH</t>
  </si>
  <si>
    <t>NISA IRA JANU</t>
  </si>
  <si>
    <t>NOVA ARYANTI</t>
  </si>
  <si>
    <t>PUTRI APRILLIA</t>
  </si>
  <si>
    <t>REZMY ALFAHREZZY</t>
  </si>
  <si>
    <t>RIKA LESTARI</t>
  </si>
  <si>
    <t>RIYANNI PUTRI</t>
  </si>
  <si>
    <t>SILVIA SRIHIKMAH</t>
  </si>
  <si>
    <t>SISKA ANJANI</t>
  </si>
  <si>
    <t>SYARIFA RAMADHANI</t>
  </si>
  <si>
    <t>SYTA ALNAIRA ABRIYANI</t>
  </si>
  <si>
    <t>VINA SRI RAHAYU</t>
  </si>
  <si>
    <t>WINDI TANIA PEBRIANA</t>
  </si>
  <si>
    <t>WULANSARI</t>
  </si>
  <si>
    <t>RIPA KHOPIPAH</t>
  </si>
  <si>
    <t>ALYA NURHALIMAH</t>
  </si>
  <si>
    <t>AMELIA PRATAMA</t>
  </si>
  <si>
    <t>ANIYAH NAFISAH</t>
  </si>
  <si>
    <t>ARINI PUSPITA SARI</t>
  </si>
  <si>
    <t>ARMAL NUR ARMELIA</t>
  </si>
  <si>
    <t>DEBI PEBRIANTI</t>
  </si>
  <si>
    <t>DEWI SRI RAHAYU</t>
  </si>
  <si>
    <t>DINI ANDIYANI</t>
  </si>
  <si>
    <t>AULIA RIZKY SHANDY</t>
  </si>
  <si>
    <t>FEBRI SHAFANI</t>
  </si>
  <si>
    <t>FIRDA APRILIA</t>
  </si>
  <si>
    <t>FIRNA FINATA</t>
  </si>
  <si>
    <t>INDRI WAHYUNI</t>
  </si>
  <si>
    <t>INTAN NUR AINI</t>
  </si>
  <si>
    <t>KLARISQ AZHYFA</t>
  </si>
  <si>
    <t>LARAS SAFFANAH</t>
  </si>
  <si>
    <t>LENI RAHMAWATI</t>
  </si>
  <si>
    <t>MANDA LAILATUSSAKINAH</t>
  </si>
  <si>
    <t>MIRATUN HASANAH</t>
  </si>
  <si>
    <t>NADIA SRI ASIH</t>
  </si>
  <si>
    <t>NAILA PUTRI AMANDA</t>
  </si>
  <si>
    <t>NOVITA AVIANTI KS</t>
  </si>
  <si>
    <t>PITRIYANI</t>
  </si>
  <si>
    <t>PRITA WULANDARI</t>
  </si>
  <si>
    <t>RAIHANA FITRIYAH</t>
  </si>
  <si>
    <t>RECHA MEYLANI SARAGIH</t>
  </si>
  <si>
    <t>REVA ANDRIYANI</t>
  </si>
  <si>
    <t>SALSA LUSIANA RIANTI</t>
  </si>
  <si>
    <t>SAYYIDA RABBANIA SAJNA</t>
  </si>
  <si>
    <t>SELA YULIANA</t>
  </si>
  <si>
    <t>SINDY SUMIYATI</t>
  </si>
  <si>
    <t>SITI AMELIA</t>
  </si>
  <si>
    <t>TATI SUSILAWATI</t>
  </si>
  <si>
    <t>WINDI WULANDARI</t>
  </si>
  <si>
    <t>YOLANDA</t>
  </si>
  <si>
    <t>: XI DKV 1</t>
  </si>
  <si>
    <t>: XI DKV 2</t>
  </si>
  <si>
    <t>: XI DKV 3</t>
  </si>
  <si>
    <t>Ket. NIS : 2425  = Tahun ajaran</t>
  </si>
  <si>
    <t xml:space="preserve">                      421  = Kode Program dan Konsentrasi Keahlian TKJ</t>
  </si>
  <si>
    <t xml:space="preserve">                      821  = Kode Program dan Konsentrasi Keahlian MP</t>
  </si>
  <si>
    <t>NAZRIL ARDIAN SAPUTRA</t>
  </si>
  <si>
    <t>OKTAVIANTI DAVINA</t>
  </si>
  <si>
    <t xml:space="preserve">                        19  = Angkatan</t>
  </si>
  <si>
    <t xml:space="preserve">                        20  = Angkatan</t>
  </si>
  <si>
    <t xml:space="preserve">                        21  = Angkatan</t>
  </si>
  <si>
    <t xml:space="preserve">                        22  = Angkatan</t>
  </si>
  <si>
    <t xml:space="preserve">                        23  = Angkatan</t>
  </si>
  <si>
    <t xml:space="preserve">                        24  = Angkatan</t>
  </si>
  <si>
    <t xml:space="preserve">                        25  = Angkatan</t>
  </si>
  <si>
    <t xml:space="preserve">                        26  = Angkatan</t>
  </si>
  <si>
    <t xml:space="preserve">                        27  = Angkatan</t>
  </si>
  <si>
    <t xml:space="preserve">                        28  = Angkatan</t>
  </si>
  <si>
    <t xml:space="preserve">                        29  = Angkatan</t>
  </si>
  <si>
    <t xml:space="preserve">                        30  = Angkatan</t>
  </si>
  <si>
    <t xml:space="preserve">                        31  = Angkatan</t>
  </si>
  <si>
    <t xml:space="preserve">                        32  = Angkatan</t>
  </si>
  <si>
    <t xml:space="preserve">                        33  = Angkatan</t>
  </si>
  <si>
    <t xml:space="preserve">                        34  = Angkatan</t>
  </si>
  <si>
    <t>ALIVIA RISTIAN SAHIR</t>
  </si>
  <si>
    <t>BUNGA PITRIA APRIANI</t>
  </si>
  <si>
    <t>CHIKA APRILIA PUTRI</t>
  </si>
  <si>
    <t>DEA NOPITA</t>
  </si>
  <si>
    <t>DEFI KANIA</t>
  </si>
  <si>
    <t>ELISA CAHYANTI</t>
  </si>
  <si>
    <t>MASRI NURSYAMSIAH</t>
  </si>
  <si>
    <t>MAULANA NUR FARIJ</t>
  </si>
  <si>
    <t>MELISA JULIANTI</t>
  </si>
  <si>
    <t>NADHIRA FATINA ABIDIN</t>
  </si>
  <si>
    <t>NOVITA OKTAVIANI</t>
  </si>
  <si>
    <t>RAISA DWI KIRANA</t>
  </si>
  <si>
    <t>RAMADANI FAZRIYANA</t>
  </si>
  <si>
    <t>RAPI SEPTIA RAMADHAN</t>
  </si>
  <si>
    <t>REFANDI AJHARI</t>
  </si>
  <si>
    <t>REHAN NURDIANSYAH</t>
  </si>
  <si>
    <t>RIZKI PERMANA</t>
  </si>
  <si>
    <t>SANDI PADILAH</t>
  </si>
  <si>
    <t>SATRIA BIMA SAKTI SUGIAR</t>
  </si>
  <si>
    <t>SHAQILA TANIA ALTASYA</t>
  </si>
  <si>
    <t>SITI AISYAH</t>
  </si>
  <si>
    <t>SIVA FEBRIANTI</t>
  </si>
  <si>
    <t>SUKMA AULIA AL ADAWIYAH</t>
  </si>
  <si>
    <t>TAOPIK RAMADANI</t>
  </si>
  <si>
    <t>TIARA CAHYA MAULIDA</t>
  </si>
  <si>
    <t>UDEN SAEPUL ROHMAN</t>
  </si>
  <si>
    <t>VIKI ALAMSYAH SAPUTRA</t>
  </si>
  <si>
    <t>YULIANTI</t>
  </si>
  <si>
    <t>ZAHRA AULIA</t>
  </si>
  <si>
    <t>MUHAMAD SAEFUL MIQDAR</t>
  </si>
  <si>
    <t>: XI TKR 1</t>
  </si>
  <si>
    <t>: XI TKR 2</t>
  </si>
  <si>
    <t>: XI TKR 3</t>
  </si>
  <si>
    <t>: XI MP 1</t>
  </si>
  <si>
    <t>: XI MP 2</t>
  </si>
  <si>
    <t>Ket. NIS : 2526  = Tahun ajaran</t>
  </si>
  <si>
    <t>tgl</t>
  </si>
  <si>
    <t>AANG RIFKI ARDIANSYAH</t>
  </si>
  <si>
    <t>ABDUL KOLIK AL FARISYI</t>
  </si>
  <si>
    <t>AHMAD AKBAR FATURRACHMAN</t>
  </si>
  <si>
    <t>AKBAR SAEPUL OKTAVIAN</t>
  </si>
  <si>
    <t>ALBY UBAIDILAH</t>
  </si>
  <si>
    <t>ARKAN AMRULLAH</t>
  </si>
  <si>
    <t>ARYA LATIF</t>
  </si>
  <si>
    <t>AZRIL</t>
  </si>
  <si>
    <t>CAHYANA MAULIDAN</t>
  </si>
  <si>
    <t>DARUL RENDRA NARUTAMA</t>
  </si>
  <si>
    <t>DZIFA MIRAJ YUSTIANDI</t>
  </si>
  <si>
    <t>EKI NURUL HAKIM</t>
  </si>
  <si>
    <t>FASHA FEBRIAWAN</t>
  </si>
  <si>
    <t>FAUZAN NUR IKHSAN</t>
  </si>
  <si>
    <t>FIRMAN AKBAR</t>
  </si>
  <si>
    <t>GANGGA NOVRIYADI</t>
  </si>
  <si>
    <t>HAERUDIN</t>
  </si>
  <si>
    <t>IMAN NUGRAHA</t>
  </si>
  <si>
    <t>LIFA APRILIANSYAH</t>
  </si>
  <si>
    <t>MUHAMAD ARYA ARDIFA</t>
  </si>
  <si>
    <t>MUHAMAD FADLI</t>
  </si>
  <si>
    <t>MUHAMAD FAISAL</t>
  </si>
  <si>
    <t>MUHAMAD HAPIZ NURUL ULUM</t>
  </si>
  <si>
    <t>MUHAMAD RIZKI FAUZAN</t>
  </si>
  <si>
    <t>NAJRIL MIZAN HAQQI</t>
  </si>
  <si>
    <t>RADEA MUSADAD ILYAS</t>
  </si>
  <si>
    <t>RADITIA</t>
  </si>
  <si>
    <t>RAFA REFALDI</t>
  </si>
  <si>
    <t>RAFFIQ MUNAWAR</t>
  </si>
  <si>
    <t>RAGIL MITRA PRATAMA</t>
  </si>
  <si>
    <t>REPAN DERMAWAN</t>
  </si>
  <si>
    <t>REZA NOOR ALIANSYAH</t>
  </si>
  <si>
    <t>RIFQI</t>
  </si>
  <si>
    <t>RIJKI RAMDANI</t>
  </si>
  <si>
    <t>SANDI</t>
  </si>
  <si>
    <t>WAHYUDIN SETIAWAN</t>
  </si>
  <si>
    <t>ABDUL LATIF</t>
  </si>
  <si>
    <t>ADEP HENDRIYANSAH</t>
  </si>
  <si>
    <t xml:space="preserve">                   221  = Kode Program dan Konsentrasi Keahlian TKR</t>
  </si>
  <si>
    <t>ADI MUHAMMAD SAHLAN</t>
  </si>
  <si>
    <t>AGUS SAEPUL MUTAKIN</t>
  </si>
  <si>
    <t>ALVIANSYAH ZAENI PUTRA</t>
  </si>
  <si>
    <t>ANDIKA ARDIANA HERMAWAN</t>
  </si>
  <si>
    <t>ANDIKA LATIF</t>
  </si>
  <si>
    <t>DENNIS KURNIA</t>
  </si>
  <si>
    <t>FADIL ARDIANSYAH</t>
  </si>
  <si>
    <t>FARDAN AWALUL MU'IZZ</t>
  </si>
  <si>
    <t>FITO SURYA</t>
  </si>
  <si>
    <t>HAIKAL MUGNI NUGRAHA</t>
  </si>
  <si>
    <t>HAIRUL FIKRI</t>
  </si>
  <si>
    <t>INSHAN HIDAYAT WIJAYA KUSUMAH</t>
  </si>
  <si>
    <t>KEVIN ADITIA SHAPUTRA</t>
  </si>
  <si>
    <t>MUHAMAD NABIL AL BANI</t>
  </si>
  <si>
    <t>MUHAMAD RAFA JULIAN</t>
  </si>
  <si>
    <t>MUHAMAD SIDIK ALMALIQI</t>
  </si>
  <si>
    <t>MUHAMMAD AKBAR SAPUTRA</t>
  </si>
  <si>
    <t>NOVAL ARYANA</t>
  </si>
  <si>
    <t>PANDU SOPYAN</t>
  </si>
  <si>
    <t>PARDAN MAULANA</t>
  </si>
  <si>
    <t>RAHMAN NUR IKHWAN</t>
  </si>
  <si>
    <t>RAHMAN SUMEDI NURROZAQ</t>
  </si>
  <si>
    <t>RAIHAN APRIJAL LUKMAN</t>
  </si>
  <si>
    <t>RAIHAN MARDIANSYAH</t>
  </si>
  <si>
    <t>RIVAN AFRIJAL PRATAMA</t>
  </si>
  <si>
    <t>RIZKI MUHAMAD HANDRIANA</t>
  </si>
  <si>
    <t>RIZKI MUHAMAD RAMDANI</t>
  </si>
  <si>
    <t>ROBY MAHFUD FAUZI</t>
  </si>
  <si>
    <t>SENDI RAMADAN</t>
  </si>
  <si>
    <t>VIDI PRASSETYA</t>
  </si>
  <si>
    <t>WILDAN NUR MUHAMMAD</t>
  </si>
  <si>
    <t>0096849276</t>
  </si>
  <si>
    <t>ADIK FIRMANSYAH</t>
  </si>
  <si>
    <t>0097071708</t>
  </si>
  <si>
    <t>ADNAN ABDUL FATAH</t>
  </si>
  <si>
    <t>0098842046</t>
  </si>
  <si>
    <t>ALAN MAULANA</t>
  </si>
  <si>
    <t>0098438068</t>
  </si>
  <si>
    <t>ANDRIYANA</t>
  </si>
  <si>
    <t>0109177637</t>
  </si>
  <si>
    <t>ANGGA RAMADHAN</t>
  </si>
  <si>
    <t>0094238704</t>
  </si>
  <si>
    <t>ARBIAN CAHYA NUGRAHA</t>
  </si>
  <si>
    <t>0091231256</t>
  </si>
  <si>
    <t>DIMAS ANGGARA</t>
  </si>
  <si>
    <t>0094830676</t>
  </si>
  <si>
    <t>DIRA AHMAD MALIK</t>
  </si>
  <si>
    <t>0096083432</t>
  </si>
  <si>
    <t>FARESA SEPTIAN RAMADHAN</t>
  </si>
  <si>
    <t>0094663048</t>
  </si>
  <si>
    <t>FARHAN RAMADHAN</t>
  </si>
  <si>
    <t>0096455152</t>
  </si>
  <si>
    <t>HERU AGUSTIAN</t>
  </si>
  <si>
    <t>0098502925</t>
  </si>
  <si>
    <t>ILTZAR AZKA ZAIDAN</t>
  </si>
  <si>
    <t>0095053703</t>
  </si>
  <si>
    <t>IQBAL MUHAMAD FAUZAN</t>
  </si>
  <si>
    <t>0095318736</t>
  </si>
  <si>
    <t>M PADLI PERDINAN</t>
  </si>
  <si>
    <t>0091414546</t>
  </si>
  <si>
    <t>M. GILANG RAMDANI</t>
  </si>
  <si>
    <t>0092712972</t>
  </si>
  <si>
    <t>MUHAMMAD AMILUDIN</t>
  </si>
  <si>
    <t>0097254484</t>
  </si>
  <si>
    <t>MUHAMMAD KAMALUDIN</t>
  </si>
  <si>
    <t>0104650867</t>
  </si>
  <si>
    <t>MUHAMMAD PARDAN</t>
  </si>
  <si>
    <t>0099548196</t>
  </si>
  <si>
    <t>MUHAMMAD SIDIK</t>
  </si>
  <si>
    <t>0095949592</t>
  </si>
  <si>
    <t>NOVAL SYAHPUTRA WAHID</t>
  </si>
  <si>
    <t>0109344846</t>
  </si>
  <si>
    <t>PARHAN NUGRAHA</t>
  </si>
  <si>
    <t>0095790713</t>
  </si>
  <si>
    <t>PERDI</t>
  </si>
  <si>
    <t>0095615306</t>
  </si>
  <si>
    <t>RANGGA ADITIA</t>
  </si>
  <si>
    <t>0093972308</t>
  </si>
  <si>
    <t>RASYA ARDIANSYAH PURNAMA</t>
  </si>
  <si>
    <t>0098874304</t>
  </si>
  <si>
    <t>RAYHAN FAUZAN</t>
  </si>
  <si>
    <t>0092199512</t>
  </si>
  <si>
    <t>RAYHAN RIZKI ADITHIA</t>
  </si>
  <si>
    <t>0094129323</t>
  </si>
  <si>
    <t>REIHAN SULAEMAN</t>
  </si>
  <si>
    <t>REVAN RIANA</t>
  </si>
  <si>
    <t>0097549749</t>
  </si>
  <si>
    <t>RIDWAN ZALALUDIN</t>
  </si>
  <si>
    <t>RIJAL ABDUL ROHIM</t>
  </si>
  <si>
    <t>0093520465</t>
  </si>
  <si>
    <t>RIZKY ALFATHUR ROHMAN</t>
  </si>
  <si>
    <t>0104104488</t>
  </si>
  <si>
    <t>RIZKY MAULANA IBRAAHIM</t>
  </si>
  <si>
    <t>0095019299</t>
  </si>
  <si>
    <t>RIZQY NAUFAL FIRDAUS</t>
  </si>
  <si>
    <t>0092991418</t>
  </si>
  <si>
    <t>TANTAN FAJAR KUSUMAH MUBHARAQ</t>
  </si>
  <si>
    <t>0102005839</t>
  </si>
  <si>
    <t>TORIQ MUSTAFID AHYAN</t>
  </si>
  <si>
    <t>0098842685</t>
  </si>
  <si>
    <t>ZANWAR RIZALLUDIN</t>
  </si>
  <si>
    <t>Ket. NIS : 2324  = Tahun ajaran</t>
  </si>
  <si>
    <t>AHMAD ROBBI PEBRIAWAN</t>
  </si>
  <si>
    <t>BAGAS MUHAMMAD RAMDAN</t>
  </si>
  <si>
    <t xml:space="preserve">                   421  = Kode Program dan Konsentrasi Keahlian TKJ</t>
  </si>
  <si>
    <t>CACA PERMANA</t>
  </si>
  <si>
    <t>FAREL ARFIANDI FRISTIAN</t>
  </si>
  <si>
    <t>FARIQ FAUZAN BADILAH</t>
  </si>
  <si>
    <t>FASYA RIFQI RAMADHAN</t>
  </si>
  <si>
    <t>HUDAN BUSYAIRY SAPUTRA</t>
  </si>
  <si>
    <t>IBROHIM ALKATINEDA</t>
  </si>
  <si>
    <t>LINGGA AKBAR PERDINAN</t>
  </si>
  <si>
    <t>SADAM ANGGA TAOLANI</t>
  </si>
  <si>
    <t>MUHAMAD RAFA ARDIANSYAH</t>
  </si>
  <si>
    <t>MUHAMAD REZA ARDIA PERMANA</t>
  </si>
  <si>
    <t>MUHAMMAD RIZAL</t>
  </si>
  <si>
    <t>RADITYA HYDAZEGUET SYAHPUTRA</t>
  </si>
  <si>
    <t>RAPI MAULANA</t>
  </si>
  <si>
    <t>RENDI</t>
  </si>
  <si>
    <t>RIZKI NURFADILAH MAULANA</t>
  </si>
  <si>
    <t>SONI NUGRAHA</t>
  </si>
  <si>
    <t>ADINDA MEGA RAYANI</t>
  </si>
  <si>
    <t>AGYSTY RESKYANI MEZZI</t>
  </si>
  <si>
    <t>ALISATA NURHASANAH</t>
  </si>
  <si>
    <t>ANNISA RAHMADHANI</t>
  </si>
  <si>
    <t>CITERA KANIA</t>
  </si>
  <si>
    <t>DENILA SUKMA RAHAYU</t>
  </si>
  <si>
    <t>MITHA SINTIA SARI</t>
  </si>
  <si>
    <t>NABILA NURSARI</t>
  </si>
  <si>
    <t>NAZWA NUR AENUNNISA</t>
  </si>
  <si>
    <t>NENG AGIS NURSAPAAH</t>
  </si>
  <si>
    <t>PUTRI NUR LAILA HALIM</t>
  </si>
  <si>
    <t>RISMA KOMARIAH</t>
  </si>
  <si>
    <t>RINI MASTUROH</t>
  </si>
  <si>
    <t>SITI MARIAM</t>
  </si>
  <si>
    <t>SYIPA NUR AISAH</t>
  </si>
  <si>
    <t>TIARA DEWI</t>
  </si>
  <si>
    <t>ZIYAN MUHTARUDIN</t>
  </si>
  <si>
    <t>VIKI ALBUQHARI</t>
  </si>
  <si>
    <t xml:space="preserve">WALI KELAS                          </t>
  </si>
  <si>
    <t>ALDI ARDIANSYAH</t>
  </si>
  <si>
    <t>ALI AKBAR SIDDIQ</t>
  </si>
  <si>
    <t>ANGGUN PEBRIANTI PERMATA</t>
  </si>
  <si>
    <t>ARNI ANGGRAENI</t>
  </si>
  <si>
    <t>ASTI PUSPA DEWI</t>
  </si>
  <si>
    <t>BILQIS SHERIN NATASYA</t>
  </si>
  <si>
    <t>DENIS ALPARIZI</t>
  </si>
  <si>
    <t>DEPITA AI NURJAN</t>
  </si>
  <si>
    <t>DIKDIK HILMAN MAULANA</t>
  </si>
  <si>
    <t>FITO PURNAMA</t>
  </si>
  <si>
    <t>INTAN RAMADANI</t>
  </si>
  <si>
    <t>JAJANG SOPIAN</t>
  </si>
  <si>
    <t>MIFTAH FAUZI HARIRI</t>
  </si>
  <si>
    <t>MOCH GATHAN NAOFAL</t>
  </si>
  <si>
    <t>MUHAMAD IRFAN PERMANA</t>
  </si>
  <si>
    <t>MUHAMAD RAFLI</t>
  </si>
  <si>
    <t>MUHAMAD RAMDAN SOLIHIN</t>
  </si>
  <si>
    <t>MUHAMMAD DANI RAMDANI</t>
  </si>
  <si>
    <t>NATASYA ANGGRAENI PUTRI</t>
  </si>
  <si>
    <t>NENI ANGGRAENI</t>
  </si>
  <si>
    <t>PAHRI HARUNA ROSID</t>
  </si>
  <si>
    <t>PRIMA AHMAD MAULANA</t>
  </si>
  <si>
    <t>RESTU PERMANA</t>
  </si>
  <si>
    <t>REVA SEPTI AULIYANTI</t>
  </si>
  <si>
    <t>RIDWAN SOPIAN</t>
  </si>
  <si>
    <t>RISKA AMELIA</t>
  </si>
  <si>
    <t>RISKA NUR RAHAYU</t>
  </si>
  <si>
    <t>RIZQI MAULANA</t>
  </si>
  <si>
    <t>SAKINAH AWALIYAH</t>
  </si>
  <si>
    <t>SALWA AINUL FAUZIAH</t>
  </si>
  <si>
    <t>SIFA NUR ANISA</t>
  </si>
  <si>
    <t>SOPANDI SOPYAN</t>
  </si>
  <si>
    <t>TRIANI DESVITA NURMALASARI</t>
  </si>
  <si>
    <t>ZIKRI PEBRIAN</t>
  </si>
  <si>
    <t>ALFIN ANDROMEDA ALRASYA</t>
  </si>
  <si>
    <t>ALWIDAD MUHAMMAD DZULFIKAR</t>
  </si>
  <si>
    <t>ANDRI RAHMAN JAENUDIN</t>
  </si>
  <si>
    <t>ASHPIYA KAMELIA</t>
  </si>
  <si>
    <t>AYU SRINITA</t>
  </si>
  <si>
    <t>CACA KHOERUNNISA</t>
  </si>
  <si>
    <t>CANTIKA CAHYANI DEWI</t>
  </si>
  <si>
    <t>CHIKAL MUHAMAD ALIFFAL</t>
  </si>
  <si>
    <t>DESMA KARLINA</t>
  </si>
  <si>
    <t>DESTIAN YUDA PRATAMA</t>
  </si>
  <si>
    <t>EUIS ZAHRA</t>
  </si>
  <si>
    <t>FAUZI ADRIANA</t>
  </si>
  <si>
    <t>FIZIE APRILYANDI</t>
  </si>
  <si>
    <t>GHIFAR ELZA PURNAMA</t>
  </si>
  <si>
    <t>HASNA NUR AFIFAH</t>
  </si>
  <si>
    <t>IQDAM MUHAMMAD NIZAM</t>
  </si>
  <si>
    <t>KANIA SRI MULYANI</t>
  </si>
  <si>
    <t>KEVIN WANDIKA PUTRA</t>
  </si>
  <si>
    <t>M IKHSAN NUR HAKIM</t>
  </si>
  <si>
    <t>MIRAJ AL-SAID</t>
  </si>
  <si>
    <t>MUHAMAD IMAN AL-ALIF</t>
  </si>
  <si>
    <t>MUHAMAD RAFA AFGHANI</t>
  </si>
  <si>
    <t>MUHAMAD REZA TAUFIQ</t>
  </si>
  <si>
    <t>MUHAMAD RIZKY OKTAVIAN</t>
  </si>
  <si>
    <t>NOPI DIANA</t>
  </si>
  <si>
    <t>NUR HANA RAHMAWATI</t>
  </si>
  <si>
    <t>NURHASANAH</t>
  </si>
  <si>
    <t>RASTI ANGGIANI</t>
  </si>
  <si>
    <t>RESA NENI AGUSTIN</t>
  </si>
  <si>
    <t>RIFKI SOHIBUDIN NOOR</t>
  </si>
  <si>
    <t>RIJKI SETIA BUDI</t>
  </si>
  <si>
    <t>RISMA SURYANI</t>
  </si>
  <si>
    <t>SANDY HAERUL MAZNUR</t>
  </si>
  <si>
    <t>SILFIA AZ-ZAHRA</t>
  </si>
  <si>
    <t>SINTA SUSILAWATI</t>
  </si>
  <si>
    <t>SITI KANIA DEWI</t>
  </si>
  <si>
    <t>ZAENAL ARIFIN</t>
  </si>
  <si>
    <t xml:space="preserve">WALI KELAS             </t>
  </si>
  <si>
    <t>ABDUL HAKIM</t>
  </si>
  <si>
    <t>ADAM MAULANA</t>
  </si>
  <si>
    <t xml:space="preserve">                  102  = Kode Program dan Konsentrasi Keahlian DKV</t>
  </si>
  <si>
    <t>AKMAL MAULANA</t>
  </si>
  <si>
    <t>ALFARISHA NURAZZAHRA</t>
  </si>
  <si>
    <t>ALLYSA FITRIANI</t>
  </si>
  <si>
    <t>ALMIRA NURFAUZIAH</t>
  </si>
  <si>
    <t>CARLY MUHAMAD RIZKI</t>
  </si>
  <si>
    <t>DAHLAN JAELANI</t>
  </si>
  <si>
    <t>FABIAN FATHUR RAZKA</t>
  </si>
  <si>
    <t>FAHRI PRATAMA</t>
  </si>
  <si>
    <t>GADIS LEMBAYUNG SUTRA</t>
  </si>
  <si>
    <t>HARIS MAULANA</t>
  </si>
  <si>
    <t>HELGA RASYA PUTRI</t>
  </si>
  <si>
    <t>JAN JAN JANWARI</t>
  </si>
  <si>
    <t>KARTIWI</t>
  </si>
  <si>
    <t>LENI KARELINA</t>
  </si>
  <si>
    <t>MARISSA OCTA</t>
  </si>
  <si>
    <t>MUHAMAD IBAM FABIAN</t>
  </si>
  <si>
    <t>MUHAMAD PAJRI FIRDAUS</t>
  </si>
  <si>
    <t>MUHAMAD RIDWAN</t>
  </si>
  <si>
    <t>NERIZA ASTRIANI</t>
  </si>
  <si>
    <t>NITA LESTARI</t>
  </si>
  <si>
    <t>PANI PADILAH</t>
  </si>
  <si>
    <t>RAIHAN SENJAYA</t>
  </si>
  <si>
    <t>RAMDAN</t>
  </si>
  <si>
    <t>RIFANA SALSA RIDHA</t>
  </si>
  <si>
    <t>RIFANI</t>
  </si>
  <si>
    <t>RIGI ROHIMAN</t>
  </si>
  <si>
    <t>SENA NAPISAH</t>
  </si>
  <si>
    <t>SENI SARIPAH</t>
  </si>
  <si>
    <t>SHAFA NUR ANNISA</t>
  </si>
  <si>
    <t>SIFA MAHARANI</t>
  </si>
  <si>
    <t>SILVIA DEWI ARYANTI</t>
  </si>
  <si>
    <t>WAFA AZKIA</t>
  </si>
  <si>
    <t>ZAHRAN HILMAN AL-FAUZAN</t>
  </si>
  <si>
    <t>ALDISTI RIZKY ABDILLAH</t>
  </si>
  <si>
    <t>AMELIA NURIFKI</t>
  </si>
  <si>
    <t>ANDINI SRI MULYANI</t>
  </si>
  <si>
    <t>ANDRE ZIDAN</t>
  </si>
  <si>
    <t>ANISA SITI NURAENI</t>
  </si>
  <si>
    <t>DERI ARDIANSYAH</t>
  </si>
  <si>
    <t>DIMAS GALIH PRASETYA</t>
  </si>
  <si>
    <t>DINI DESWITA HARTANI GULTOM</t>
  </si>
  <si>
    <t>EVI SILPIANI</t>
  </si>
  <si>
    <t>FAJAR MUHAMAD KHALIQ</t>
  </si>
  <si>
    <t>FARHAN NURIZKI</t>
  </si>
  <si>
    <t>HAPPY NURHAFIZAH</t>
  </si>
  <si>
    <t>HERLINA</t>
  </si>
  <si>
    <t>IMAS SITI ROHIMAH</t>
  </si>
  <si>
    <t>IQBAL BADAR MAULANA</t>
  </si>
  <si>
    <t>JANJAN NURJAMAN</t>
  </si>
  <si>
    <t>KEYSA ALENTA PUTRI</t>
  </si>
  <si>
    <t>KUSNADI</t>
  </si>
  <si>
    <t>MITA TRI DESWITA</t>
  </si>
  <si>
    <t>MOCH. RIZKY ADITYA</t>
  </si>
  <si>
    <t>MUHAMAD ALPIN</t>
  </si>
  <si>
    <t>NADIA MEILANI</t>
  </si>
  <si>
    <t>NIZAR RISALAN</t>
  </si>
  <si>
    <t>NURSIVA MUTIARA</t>
  </si>
  <si>
    <t>QAIS MUHAMMAD WAFIQ</t>
  </si>
  <si>
    <t>RINI ANDRIYANI</t>
  </si>
  <si>
    <t>RISKA JULIANTI</t>
  </si>
  <si>
    <t>SAEFUL MUBAROK</t>
  </si>
  <si>
    <t>SAFA MAHARANI</t>
  </si>
  <si>
    <t>SALSABILA MA'RIFATULLOH</t>
  </si>
  <si>
    <t>SANDRA AUTHAPIA</t>
  </si>
  <si>
    <t>SEKAR PUJIANTI</t>
  </si>
  <si>
    <t>VIKRY SYAHREJA</t>
  </si>
  <si>
    <t>WIDIA JUNIARTI</t>
  </si>
  <si>
    <t>ZALFA NAILAH</t>
  </si>
  <si>
    <t>AKBAR NUR FALAH</t>
  </si>
  <si>
    <t>ANDIKA MAULANA</t>
  </si>
  <si>
    <t>ANDRE HERMAWAN</t>
  </si>
  <si>
    <t>ANITA NURKEYLA</t>
  </si>
  <si>
    <t>ARIFA KALISTA PUTRI</t>
  </si>
  <si>
    <t>AUFA YUSUF</t>
  </si>
  <si>
    <t>AURA ZAHRA SIFA</t>
  </si>
  <si>
    <t>DEA NAJWATUSIFA</t>
  </si>
  <si>
    <t>DEWI SARTIKA</t>
  </si>
  <si>
    <t>DIMAS PRAYOGA</t>
  </si>
  <si>
    <t>DINA NURKONIDAH</t>
  </si>
  <si>
    <t>FAIRUS AZQI MUHAMAD</t>
  </si>
  <si>
    <t>FAISAL</t>
  </si>
  <si>
    <t>FATMAWATI</t>
  </si>
  <si>
    <t>HESTI AMELIA PUTRI</t>
  </si>
  <si>
    <t>ISFI NURSYA'BANI</t>
  </si>
  <si>
    <t>ISYAM RAHMAT WITULAR</t>
  </si>
  <si>
    <t>JENI SITI NURJANAH</t>
  </si>
  <si>
    <t>KENARA NURSYAPA</t>
  </si>
  <si>
    <t>MAMAT SUPRIATNA</t>
  </si>
  <si>
    <t>MANTRI ALPARIZI</t>
  </si>
  <si>
    <t>MUHAMMAD FAKHRI FAUZAN NURZAMAN</t>
  </si>
  <si>
    <t>MUHAMMAD RAIHAN RAMDHANI</t>
  </si>
  <si>
    <t>NENG JIHAN MELLANI</t>
  </si>
  <si>
    <t>NINDI MAULIDA</t>
  </si>
  <si>
    <t>PUTRI LAYUNG KANCANA</t>
  </si>
  <si>
    <t>RANDIKA SAPUTRA</t>
  </si>
  <si>
    <t>RANI</t>
  </si>
  <si>
    <t>REPI MUHAMMAD NUGRAHA</t>
  </si>
  <si>
    <t>RESA PITRI SEPTIANI</t>
  </si>
  <si>
    <t>SINTIYA FITRIYANI</t>
  </si>
  <si>
    <t>SITI SOPIAH NURYANTI</t>
  </si>
  <si>
    <t>SRIWULAN GENDIS OKTAVIANI</t>
  </si>
  <si>
    <t>SULIS SITI SAFWAH</t>
  </si>
  <si>
    <t>VIRZA AULIA FARHANA</t>
  </si>
  <si>
    <t>WINDA KALIZHA PUTRI</t>
  </si>
  <si>
    <t>Tgl</t>
  </si>
  <si>
    <t>ADNIN SIFAUL FAUZA</t>
  </si>
  <si>
    <t>AGNA SITI MUNAPAH</t>
  </si>
  <si>
    <t>AI SYAHRINI</t>
  </si>
  <si>
    <t>AURA NUR WACHIDAH</t>
  </si>
  <si>
    <t>AZAHRA KESYA ALNAFFI</t>
  </si>
  <si>
    <t xml:space="preserve">                   821  = Kode Program dan Konsentrasi Keahlian MPLB</t>
  </si>
  <si>
    <t>AZKIA ASRI DESTIRA</t>
  </si>
  <si>
    <t>CITRA WIDIA WATI</t>
  </si>
  <si>
    <t>DAVINA QIANDRA NABILLA</t>
  </si>
  <si>
    <t>FELISA ANGGRAENI</t>
  </si>
  <si>
    <t>HELLEN AFRILIA</t>
  </si>
  <si>
    <t>HENDRI MULYANA</t>
  </si>
  <si>
    <t>IGAN TAUFIK</t>
  </si>
  <si>
    <t>KARINA RAHMAWATI</t>
  </si>
  <si>
    <t>LIA VINEU RENAT</t>
  </si>
  <si>
    <t>LINA RAHMAWATI</t>
  </si>
  <si>
    <t>MARSHA DWI ANGGRAENI</t>
  </si>
  <si>
    <t>MITA SALSABILA</t>
  </si>
  <si>
    <t>NAZWA AULIA NURFADILAH</t>
  </si>
  <si>
    <t>NELYIANA NURANISA</t>
  </si>
  <si>
    <t>NISA NURSOLIHAH</t>
  </si>
  <si>
    <t>NITA INDRIYANI</t>
  </si>
  <si>
    <t>PUTRI AYU AGUSTINA</t>
  </si>
  <si>
    <t>RAHMA RAISA NUR SAYIDAH</t>
  </si>
  <si>
    <t>RATIH NOPIANI</t>
  </si>
  <si>
    <t>SALMA DEAMOZA</t>
  </si>
  <si>
    <t>SALSA NABILA</t>
  </si>
  <si>
    <t>SALWA SALSABILA NADIFAH</t>
  </si>
  <si>
    <t>SANY FITRIYANI</t>
  </si>
  <si>
    <t>SARAH KOMARIAH</t>
  </si>
  <si>
    <t>SELA LIES SHAFIRA ANSORI</t>
  </si>
  <si>
    <t>SENJA RAFA NADINDA</t>
  </si>
  <si>
    <t>SHERINA RAMADANI</t>
  </si>
  <si>
    <t>TANIA NUR'AINI</t>
  </si>
  <si>
    <t>TASYA AULIA</t>
  </si>
  <si>
    <t>ZHESILLIA RUKMANA</t>
  </si>
  <si>
    <t>AIRA DEVITRIYANI</t>
  </si>
  <si>
    <t>AIRIN RAHMADANI</t>
  </si>
  <si>
    <t>ALFI LATIFAH</t>
  </si>
  <si>
    <t>AMELIA HASANAH</t>
  </si>
  <si>
    <t>ANISA AMELIA</t>
  </si>
  <si>
    <t>ARUM SAROH</t>
  </si>
  <si>
    <t>DEISTY KAYLA MAHFUZAH</t>
  </si>
  <si>
    <t>FALYA NOVITA AZZAHRA</t>
  </si>
  <si>
    <t>FITRIYANI</t>
  </si>
  <si>
    <t>HILMA RAHMAWATI</t>
  </si>
  <si>
    <t>IMAS SITI URFAH</t>
  </si>
  <si>
    <t>JULIA MELINDA WATI</t>
  </si>
  <si>
    <t>KAYLA APRIL LIYANI</t>
  </si>
  <si>
    <t>LINDA NURAZIZAH</t>
  </si>
  <si>
    <t>LULU NAYILA</t>
  </si>
  <si>
    <t>NUR RAI OKTAVIA</t>
  </si>
  <si>
    <t>NURANI RISMAWATI</t>
  </si>
  <si>
    <t>RAYHAN ANUGRAH</t>
  </si>
  <si>
    <t>RINI</t>
  </si>
  <si>
    <t>RISKA</t>
  </si>
  <si>
    <t>RISKA NUR ANGGRAENI</t>
  </si>
  <si>
    <t>SANIA DEWI</t>
  </si>
  <si>
    <t>SHELLY FITRIANI</t>
  </si>
  <si>
    <t>SILMA ROSITA PRISILAWATI</t>
  </si>
  <si>
    <t>SINTA SINTIAWATI</t>
  </si>
  <si>
    <t>SITI NUR VIANI YULIA</t>
  </si>
  <si>
    <t>SITI NURAENI</t>
  </si>
  <si>
    <t>SUCI RAHMAWATI</t>
  </si>
  <si>
    <t>SYAKILA APRILYANTI</t>
  </si>
  <si>
    <t>TIARA YUNIARTI</t>
  </si>
  <si>
    <t>VINA ERVIANA</t>
  </si>
  <si>
    <t>QORI AWALIA RIZKILAH</t>
  </si>
  <si>
    <t>KENNIA FAJRINA YASMIN</t>
  </si>
  <si>
    <t>M FACHRI ALI FAUZI</t>
  </si>
  <si>
    <t>RASYA  SYAHPUTRA</t>
  </si>
  <si>
    <t>MUHAMAD RAIHAN KHOIRUL ANWAR</t>
  </si>
  <si>
    <t>LUTVIANA RAYA</t>
  </si>
  <si>
    <t>SIPA PAUJIAH</t>
  </si>
  <si>
    <t>FADJAR MOCHAMAD ZIBRAN</t>
  </si>
  <si>
    <t>MUHAMMAD FAIZAL</t>
  </si>
  <si>
    <t>MUHAMMAD IQBAL HOERUDINNAZIB</t>
  </si>
  <si>
    <t>YUSI ALFIATUNNISA</t>
  </si>
  <si>
    <t>NANDA DELLA AMELIA APRILIYANTI</t>
  </si>
  <si>
    <t>SEPTIA RAMADANI</t>
  </si>
  <si>
    <t>MUHAMAD FAHMI ADRIANSYAH</t>
  </si>
  <si>
    <t>MUHAMMAD ADLAN AL FAREZA</t>
  </si>
  <si>
    <t>NAUVAL ANDI SYAH PUTRA</t>
  </si>
  <si>
    <t>ANDRIAN NUR MUHAMAD KUSUMA</t>
  </si>
  <si>
    <t>NURROHMAH KHARISMA MAHARANI</t>
  </si>
  <si>
    <t>RIANA YUSDISTIRA</t>
  </si>
  <si>
    <t>AEP SAEPU MILAH</t>
  </si>
  <si>
    <t>AZKIAN APGAN</t>
  </si>
  <si>
    <t>NURHAYATI BARRYATILLAH</t>
  </si>
  <si>
    <t>MOCH HAIKAL RAMADHANI</t>
  </si>
  <si>
    <t>IRFAN FADILAH</t>
  </si>
  <si>
    <t>YUSUP HAIDAR ALHADI</t>
  </si>
  <si>
    <t>DENDI MUHAMMAD FAUZAN</t>
  </si>
  <si>
    <t>MUHAMAD RIFKI GHIPARI</t>
  </si>
  <si>
    <t>MUHAMMAD RIFAN MAULANA SOPANDI</t>
  </si>
  <si>
    <t>MUHAMMAD YUSRIL FIKRAN KUSMANA</t>
  </si>
  <si>
    <t>ROBI RYNHAT PRATAMA</t>
  </si>
  <si>
    <t>FITRIA ARIYAN</t>
  </si>
  <si>
    <t>0082751842</t>
  </si>
  <si>
    <t>0102699400</t>
  </si>
  <si>
    <t>H. Husni Mubarok, S.Pd.,M.Pd</t>
  </si>
  <si>
    <t>NIP.197712022009021001</t>
  </si>
  <si>
    <t>: MERIYANTI NURSIFA, S.Pd.</t>
  </si>
  <si>
    <t>: YAYU RAHAYU, S.P.</t>
  </si>
  <si>
    <t>: MAYA SITI UMAYAH, S.Pd.</t>
  </si>
  <si>
    <t>: MOHAMAD ZAYYAN A.R., S.Pd.</t>
  </si>
  <si>
    <t>: JULAEHA, S.Pd.I</t>
  </si>
  <si>
    <t>: ALFIAN RIZKY MAULANA, S.Pd.</t>
  </si>
  <si>
    <t>: AHMAD NURUL KODRI, S.Pd</t>
  </si>
  <si>
    <t>: SRI TIKNOWATI, S.Pd.</t>
  </si>
  <si>
    <t>JUMLAH SISWA</t>
  </si>
  <si>
    <t>Januari 2026</t>
  </si>
  <si>
    <t>'0089709968</t>
  </si>
  <si>
    <t>'0102363339</t>
  </si>
  <si>
    <t>'0091257611</t>
  </si>
  <si>
    <t>'0091404121</t>
  </si>
  <si>
    <t>'0096290213</t>
  </si>
  <si>
    <t>'0104562162</t>
  </si>
  <si>
    <t>'0095431337</t>
  </si>
  <si>
    <t>'0092500097</t>
  </si>
  <si>
    <t>'0097828568</t>
  </si>
  <si>
    <t>'0108741693</t>
  </si>
  <si>
    <t>'0104134216</t>
  </si>
  <si>
    <t>'0099723134</t>
  </si>
  <si>
    <t>'0099091674</t>
  </si>
  <si>
    <t>'0107449589</t>
  </si>
  <si>
    <t>'0099144751</t>
  </si>
  <si>
    <t>'0091317842</t>
  </si>
  <si>
    <t>'0096209938</t>
  </si>
  <si>
    <t>'0092760193</t>
  </si>
  <si>
    <t>'0093250108</t>
  </si>
  <si>
    <t>'0098913634</t>
  </si>
  <si>
    <t>MAULANA YUSUP</t>
  </si>
  <si>
    <t>'0095202957</t>
  </si>
  <si>
    <t>'0106822280</t>
  </si>
  <si>
    <t>'3095512293</t>
  </si>
  <si>
    <t>'0081280795</t>
  </si>
  <si>
    <t>'0088389513</t>
  </si>
  <si>
    <t>'0104729955</t>
  </si>
  <si>
    <t>'0092425210</t>
  </si>
  <si>
    <t>'0098655160</t>
  </si>
  <si>
    <t>'0101935422</t>
  </si>
  <si>
    <t>'0106440291</t>
  </si>
  <si>
    <t>'0095353536</t>
  </si>
  <si>
    <t>'0105054637</t>
  </si>
  <si>
    <t>'0091921026</t>
  </si>
  <si>
    <t>'0098318908</t>
  </si>
  <si>
    <t>'0099389831</t>
  </si>
  <si>
    <t>'0102869854</t>
  </si>
  <si>
    <t>'0107479601</t>
  </si>
  <si>
    <t>'0095486026</t>
  </si>
  <si>
    <t>'0098851705</t>
  </si>
  <si>
    <t>'0095634603</t>
  </si>
  <si>
    <t>'0098557212</t>
  </si>
  <si>
    <t>'0094536546</t>
  </si>
  <si>
    <t>'0084874676</t>
  </si>
  <si>
    <t>'0085482783</t>
  </si>
  <si>
    <t>'0099877255</t>
  </si>
  <si>
    <t>'0093689827</t>
  </si>
  <si>
    <t>'0103279932</t>
  </si>
  <si>
    <t>'0106115463</t>
  </si>
  <si>
    <t>'0106698513</t>
  </si>
  <si>
    <t>'0093463033</t>
  </si>
  <si>
    <t>'0097381791</t>
  </si>
  <si>
    <t>'0092598583</t>
  </si>
  <si>
    <t>'0083880589</t>
  </si>
  <si>
    <t>'0096417038</t>
  </si>
  <si>
    <t>'3092362656</t>
  </si>
  <si>
    <t>'0091533060</t>
  </si>
  <si>
    <t>'0099667691</t>
  </si>
  <si>
    <t>'0092200172</t>
  </si>
  <si>
    <t>'0096949302</t>
  </si>
  <si>
    <t>'0092494919</t>
  </si>
  <si>
    <t>'0097664187</t>
  </si>
  <si>
    <t>'0099278088</t>
  </si>
  <si>
    <t>'0083378508</t>
  </si>
  <si>
    <t>'0099975188</t>
  </si>
  <si>
    <t>'0108069337</t>
  </si>
  <si>
    <t>'0083565803</t>
  </si>
  <si>
    <t>'0095249363</t>
  </si>
  <si>
    <t>'0107943484</t>
  </si>
  <si>
    <t>'0107104047</t>
  </si>
  <si>
    <t>'0105607921</t>
  </si>
  <si>
    <t>'0105469601</t>
  </si>
  <si>
    <t>'0095951762</t>
  </si>
  <si>
    <t>'0099660964</t>
  </si>
  <si>
    <t>'0103196944</t>
  </si>
  <si>
    <t>'0097147930</t>
  </si>
  <si>
    <t>'0095978293</t>
  </si>
  <si>
    <t>'0099425833</t>
  </si>
  <si>
    <t>'0098270778</t>
  </si>
  <si>
    <t>'0095337567</t>
  </si>
  <si>
    <t>'0094878706</t>
  </si>
  <si>
    <t>'0104763016</t>
  </si>
  <si>
    <t>'0107291194</t>
  </si>
  <si>
    <t>'0095564124</t>
  </si>
  <si>
    <t>'0109782963</t>
  </si>
  <si>
    <t>'0106854662</t>
  </si>
  <si>
    <t>'0093266908</t>
  </si>
  <si>
    <t>'0093543517</t>
  </si>
  <si>
    <t>'0105120849</t>
  </si>
  <si>
    <t>'0096071765</t>
  </si>
  <si>
    <t>'0106459664</t>
  </si>
  <si>
    <t>'0091957739</t>
  </si>
  <si>
    <t>'0093582392</t>
  </si>
  <si>
    <t>'0093470189</t>
  </si>
  <si>
    <t>'0093454685</t>
  </si>
  <si>
    <t>'0092002468</t>
  </si>
  <si>
    <t>'0103495690</t>
  </si>
  <si>
    <t>'0098974720</t>
  </si>
  <si>
    <t>'0096335483</t>
  </si>
  <si>
    <t>'0099642715</t>
  </si>
  <si>
    <t>'0103244535</t>
  </si>
  <si>
    <t>'0091209298</t>
  </si>
  <si>
    <t>'0099453004</t>
  </si>
  <si>
    <t>'0092763804</t>
  </si>
  <si>
    <t>'0084082961</t>
  </si>
  <si>
    <t>'0106074732</t>
  </si>
  <si>
    <t>'0105037844</t>
  </si>
  <si>
    <t>'0087658015</t>
  </si>
  <si>
    <t>'0092309612</t>
  </si>
  <si>
    <t>'0094062921</t>
  </si>
  <si>
    <t>'0097472904</t>
  </si>
  <si>
    <t>'0106724996</t>
  </si>
  <si>
    <t>'0104454329</t>
  </si>
  <si>
    <t>'0097510098</t>
  </si>
  <si>
    <t>'0101225099</t>
  </si>
  <si>
    <t>'3098497174</t>
  </si>
  <si>
    <t>'0103970100</t>
  </si>
  <si>
    <t>'0099903545</t>
  </si>
  <si>
    <t>'0092482230</t>
  </si>
  <si>
    <t>'0104489447</t>
  </si>
  <si>
    <t>FITRAH ABDULLAH FATAH</t>
  </si>
  <si>
    <t>'0098853578</t>
  </si>
  <si>
    <t>'0092112784</t>
  </si>
  <si>
    <t>'0093820937</t>
  </si>
  <si>
    <t>'0094578659</t>
  </si>
  <si>
    <t>'0101631514</t>
  </si>
  <si>
    <t>'0099318509</t>
  </si>
  <si>
    <t>'0093340539</t>
  </si>
  <si>
    <t>'0107315413</t>
  </si>
  <si>
    <t>'0106626320</t>
  </si>
  <si>
    <t>'0085537961</t>
  </si>
  <si>
    <t>'0097892779</t>
  </si>
  <si>
    <t>'0105782639</t>
  </si>
  <si>
    <t>'0096334853</t>
  </si>
  <si>
    <t>'0099907184</t>
  </si>
  <si>
    <t>'0097219283</t>
  </si>
  <si>
    <t>'0096394643</t>
  </si>
  <si>
    <t>'0109598242</t>
  </si>
  <si>
    <t>'0096448933</t>
  </si>
  <si>
    <t>'0088552374</t>
  </si>
  <si>
    <t>'0099731107</t>
  </si>
  <si>
    <t>'0105652275</t>
  </si>
  <si>
    <t>'0098744607</t>
  </si>
  <si>
    <t>'0098044533</t>
  </si>
  <si>
    <t>'0108295629</t>
  </si>
  <si>
    <t>WADA MAULIDA SOLIKHAH</t>
  </si>
  <si>
    <t>'0099019056</t>
  </si>
  <si>
    <t>'0101379947</t>
  </si>
  <si>
    <t>'0093401960</t>
  </si>
  <si>
    <t>'0094792703</t>
  </si>
  <si>
    <t>'0102514783</t>
  </si>
  <si>
    <t>'0099360654</t>
  </si>
  <si>
    <t>'0094612796</t>
  </si>
  <si>
    <t>'0108435303</t>
  </si>
  <si>
    <t>'0101570124</t>
  </si>
  <si>
    <t>'0097433381</t>
  </si>
  <si>
    <t>'0093586276</t>
  </si>
  <si>
    <t>'0097437083</t>
  </si>
  <si>
    <t>'0091435500</t>
  </si>
  <si>
    <t>'0107427618</t>
  </si>
  <si>
    <t>'0104667026</t>
  </si>
  <si>
    <t>'0103872003</t>
  </si>
  <si>
    <t>'0109136410</t>
  </si>
  <si>
    <t>'0094478936</t>
  </si>
  <si>
    <t>'0104103911</t>
  </si>
  <si>
    <t>'0099843382</t>
  </si>
  <si>
    <t>'0093413835</t>
  </si>
  <si>
    <t>'0109203559</t>
  </si>
  <si>
    <t>'0109505592</t>
  </si>
  <si>
    <t>'3096530322</t>
  </si>
  <si>
    <t>'0091050201</t>
  </si>
  <si>
    <t>'0095494161</t>
  </si>
  <si>
    <t>'0108678202</t>
  </si>
  <si>
    <t>'0091412857</t>
  </si>
  <si>
    <t>'0098719018</t>
  </si>
  <si>
    <t>'0094899231</t>
  </si>
  <si>
    <t>'0083118049</t>
  </si>
  <si>
    <t>'0098258819</t>
  </si>
  <si>
    <t>'0101820390</t>
  </si>
  <si>
    <t>'0098271165</t>
  </si>
  <si>
    <t>'0103955391</t>
  </si>
  <si>
    <t>'0098526814</t>
  </si>
  <si>
    <t>'0095143313</t>
  </si>
  <si>
    <t>'0106374749</t>
  </si>
  <si>
    <t>'0085603411</t>
  </si>
  <si>
    <t>'0096732045</t>
  </si>
  <si>
    <t>'0096853657</t>
  </si>
  <si>
    <t>'0103394162</t>
  </si>
  <si>
    <t>'0097633818</t>
  </si>
  <si>
    <t>'0103132568</t>
  </si>
  <si>
    <t>'0094630575</t>
  </si>
  <si>
    <t>'0095837333</t>
  </si>
  <si>
    <t>'0109498256</t>
  </si>
  <si>
    <t>'0102346967</t>
  </si>
  <si>
    <t>'0102136761</t>
  </si>
  <si>
    <t>'0102949328</t>
  </si>
  <si>
    <t>'0093047157</t>
  </si>
  <si>
    <t>'0103978281</t>
  </si>
  <si>
    <t>'0094628520</t>
  </si>
  <si>
    <t>'0094536540</t>
  </si>
  <si>
    <t>'0091012977</t>
  </si>
  <si>
    <t>'0099226316</t>
  </si>
  <si>
    <t>'0092658918</t>
  </si>
  <si>
    <t>'0102456755</t>
  </si>
  <si>
    <t>'0091378167</t>
  </si>
  <si>
    <t>'0093320038</t>
  </si>
  <si>
    <t>'0097008145</t>
  </si>
  <si>
    <t>'0097067725</t>
  </si>
  <si>
    <t>'0098678552</t>
  </si>
  <si>
    <t>'0103978581</t>
  </si>
  <si>
    <t>'0109433103</t>
  </si>
  <si>
    <t>'0101006513</t>
  </si>
  <si>
    <t>'0109993711</t>
  </si>
  <si>
    <t>'0103970186</t>
  </si>
  <si>
    <t>'0106380307</t>
  </si>
  <si>
    <t>'0092456610</t>
  </si>
  <si>
    <t>'0089627049</t>
  </si>
  <si>
    <t>'0109461796</t>
  </si>
  <si>
    <t>'0095277461</t>
  </si>
  <si>
    <t>'0087282688</t>
  </si>
  <si>
    <t>'0087282689</t>
  </si>
  <si>
    <t>'0087282690</t>
  </si>
  <si>
    <t>'0087282691</t>
  </si>
  <si>
    <t>'0087282692</t>
  </si>
  <si>
    <t>'0087282693</t>
  </si>
  <si>
    <t>'0087282694</t>
  </si>
  <si>
    <t>'0087282695</t>
  </si>
  <si>
    <t>'0087282696</t>
  </si>
  <si>
    <t>'0087282697</t>
  </si>
  <si>
    <t>'0087282698</t>
  </si>
  <si>
    <t>'0087282699</t>
  </si>
  <si>
    <t>'0087282700</t>
  </si>
  <si>
    <t>'0087282701</t>
  </si>
  <si>
    <t>'0087282702</t>
  </si>
  <si>
    <t>'0087282703</t>
  </si>
  <si>
    <t>'0087282704</t>
  </si>
  <si>
    <t>'0087282705</t>
  </si>
  <si>
    <t>'0087282706</t>
  </si>
  <si>
    <t>'0087282707</t>
  </si>
  <si>
    <t>'0087282708</t>
  </si>
  <si>
    <t>'0087282709</t>
  </si>
  <si>
    <t>'0087282710</t>
  </si>
  <si>
    <t>'0087282711</t>
  </si>
  <si>
    <t>'0087282712</t>
  </si>
  <si>
    <t>'0087282713</t>
  </si>
  <si>
    <t>'0087282714</t>
  </si>
  <si>
    <t>'0087282715</t>
  </si>
  <si>
    <t>'0087282716</t>
  </si>
  <si>
    <t>'0087282717</t>
  </si>
  <si>
    <t>'0087282718</t>
  </si>
  <si>
    <t>'0087282719</t>
  </si>
  <si>
    <t>'0087282720</t>
  </si>
  <si>
    <t>'0087282721</t>
  </si>
  <si>
    <t>'0087282722</t>
  </si>
  <si>
    <t>'0096144190</t>
  </si>
  <si>
    <t>'0102366016</t>
  </si>
  <si>
    <t>'0097917082</t>
  </si>
  <si>
    <t>'0096068720</t>
  </si>
  <si>
    <t>'0109967653</t>
  </si>
  <si>
    <t>'0098144164</t>
  </si>
  <si>
    <t>'0102692183</t>
  </si>
  <si>
    <t>'0101768285</t>
  </si>
  <si>
    <t>'0107550749</t>
  </si>
  <si>
    <t>'0091149868</t>
  </si>
  <si>
    <t>'0095223151</t>
  </si>
  <si>
    <t>'0104829530</t>
  </si>
  <si>
    <t>'0091772953</t>
  </si>
  <si>
    <t>'0098912658</t>
  </si>
  <si>
    <t>'0098234787</t>
  </si>
  <si>
    <t>'0098809454</t>
  </si>
  <si>
    <t>'0099898279</t>
  </si>
  <si>
    <t>'0104123682</t>
  </si>
  <si>
    <t>'0107720194</t>
  </si>
  <si>
    <t>'0094322048</t>
  </si>
  <si>
    <t>'0099025544</t>
  </si>
  <si>
    <t>'0097154641</t>
  </si>
  <si>
    <t>'0096399269</t>
  </si>
  <si>
    <t>'0104692181</t>
  </si>
  <si>
    <t>'0109692654</t>
  </si>
  <si>
    <t>'0109783778</t>
  </si>
  <si>
    <t>'0096362470</t>
  </si>
  <si>
    <t>'0107821048</t>
  </si>
  <si>
    <t>'0088353301</t>
  </si>
  <si>
    <t>'0097087434</t>
  </si>
  <si>
    <t>'0091966291</t>
  </si>
  <si>
    <t>'0103113532</t>
  </si>
  <si>
    <t>'0093001596</t>
  </si>
  <si>
    <t>'0098416541</t>
  </si>
  <si>
    <t>'0092900105</t>
  </si>
  <si>
    <t>'0099885949</t>
  </si>
  <si>
    <t>'0106989915</t>
  </si>
  <si>
    <t>'0096144748</t>
  </si>
  <si>
    <t>'0104366962</t>
  </si>
  <si>
    <t>'0102148310</t>
  </si>
  <si>
    <t>'0097314941</t>
  </si>
  <si>
    <t>'0093665617</t>
  </si>
  <si>
    <t>'0098364651</t>
  </si>
  <si>
    <t>'0093540280</t>
  </si>
  <si>
    <t>'0096681356</t>
  </si>
  <si>
    <t>'0099555382</t>
  </si>
  <si>
    <t>'0097857463</t>
  </si>
  <si>
    <t>'0098770934</t>
  </si>
  <si>
    <t>'0109018410</t>
  </si>
  <si>
    <t>'0099375223</t>
  </si>
  <si>
    <t>'0094155144</t>
  </si>
  <si>
    <t>'0105898184</t>
  </si>
  <si>
    <t>'0098224847</t>
  </si>
  <si>
    <t>'0094429040</t>
  </si>
  <si>
    <t>'0105740121</t>
  </si>
  <si>
    <t>'0102791514</t>
  </si>
  <si>
    <t>'0102542527</t>
  </si>
  <si>
    <t>'0098339154</t>
  </si>
  <si>
    <t>'0108018009</t>
  </si>
  <si>
    <t>'0095117325</t>
  </si>
  <si>
    <t>'0104203619</t>
  </si>
  <si>
    <t>'0095308593</t>
  </si>
  <si>
    <t>'0096442217</t>
  </si>
  <si>
    <t>'0102879771</t>
  </si>
  <si>
    <t>'0099385938</t>
  </si>
  <si>
    <t>'0109690448</t>
  </si>
  <si>
    <t>'0093683489</t>
  </si>
  <si>
    <t>'0095175817</t>
  </si>
  <si>
    <t>'0092571885</t>
  </si>
  <si>
    <t>'0103919445</t>
  </si>
  <si>
    <t>'0105530182</t>
  </si>
  <si>
    <t xml:space="preserve">'0107302328 </t>
  </si>
  <si>
    <t>'0091270292</t>
  </si>
  <si>
    <t>'0104209864</t>
  </si>
  <si>
    <t>'0098042084</t>
  </si>
  <si>
    <t>'0092748769</t>
  </si>
  <si>
    <t>'0099987567</t>
  </si>
  <si>
    <t>'0109801593</t>
  </si>
  <si>
    <t>'0093825598</t>
  </si>
  <si>
    <t>'0099673200</t>
  </si>
  <si>
    <t>'0095799040</t>
  </si>
  <si>
    <t>'0109671000</t>
  </si>
  <si>
    <t>'0102738146</t>
  </si>
  <si>
    <t>'0108332276</t>
  </si>
  <si>
    <t>'0092331603</t>
  </si>
  <si>
    <t>'0105069351</t>
  </si>
  <si>
    <t>'0099412984</t>
  </si>
  <si>
    <t>MUHAMAD GALIH SUTIYONO</t>
  </si>
  <si>
    <t>'0092896964</t>
  </si>
  <si>
    <t>'0096286527</t>
  </si>
  <si>
    <t>'0087251307</t>
  </si>
  <si>
    <t>'0091561329</t>
  </si>
  <si>
    <t>'0105637174</t>
  </si>
  <si>
    <t>'0109669361</t>
  </si>
  <si>
    <t>'0108474613</t>
  </si>
  <si>
    <t>'0096927194</t>
  </si>
  <si>
    <t>'0101008658</t>
  </si>
  <si>
    <t>'0093759238</t>
  </si>
  <si>
    <t>'0104879104</t>
  </si>
  <si>
    <t>'0097691839</t>
  </si>
  <si>
    <t>'0096934546</t>
  </si>
  <si>
    <t>'0097954988</t>
  </si>
  <si>
    <t>'0099513699</t>
  </si>
  <si>
    <t>'0098086770</t>
  </si>
  <si>
    <t>'0098413940</t>
  </si>
  <si>
    <t>'0094068848</t>
  </si>
  <si>
    <t>'0086770547</t>
  </si>
  <si>
    <t>'0086737360</t>
  </si>
  <si>
    <t>'0097600077</t>
  </si>
  <si>
    <t>'0094096737</t>
  </si>
  <si>
    <t>'0095409792</t>
  </si>
  <si>
    <t>'0082296287</t>
  </si>
  <si>
    <t>'0087593993</t>
  </si>
  <si>
    <t>'0093951404</t>
  </si>
  <si>
    <t>'0086919093</t>
  </si>
  <si>
    <t>'0095662224</t>
  </si>
  <si>
    <t>'0092497762</t>
  </si>
  <si>
    <t>'0093684900</t>
  </si>
  <si>
    <t>'0092095765</t>
  </si>
  <si>
    <t>'0091692048</t>
  </si>
  <si>
    <t>'0089524775</t>
  </si>
  <si>
    <t>'0097734251</t>
  </si>
  <si>
    <t>'0095370654</t>
  </si>
  <si>
    <t>'0082028748</t>
  </si>
  <si>
    <t>'0087495726</t>
  </si>
  <si>
    <t>'0086792114</t>
  </si>
  <si>
    <t>'0083892096</t>
  </si>
  <si>
    <t>'0094531715</t>
  </si>
  <si>
    <t>'0082612478</t>
  </si>
  <si>
    <t>'0092796407</t>
  </si>
  <si>
    <t>'0083743420</t>
  </si>
  <si>
    <t>'0083595037</t>
  </si>
  <si>
    <t>'0093531083</t>
  </si>
  <si>
    <t>'0089862392</t>
  </si>
  <si>
    <t>'0088750852</t>
  </si>
  <si>
    <t>'0085621583</t>
  </si>
  <si>
    <t>'0085454872</t>
  </si>
  <si>
    <t>'0086448603</t>
  </si>
  <si>
    <t>'0098031962</t>
  </si>
  <si>
    <t>'0086112749</t>
  </si>
  <si>
    <t>'0097346783</t>
  </si>
  <si>
    <t>'0087254575</t>
  </si>
  <si>
    <t>'0096995599</t>
  </si>
  <si>
    <t>'0082758345</t>
  </si>
  <si>
    <t>'3097076819</t>
  </si>
  <si>
    <t>'0084689236</t>
  </si>
  <si>
    <t>'0086364511</t>
  </si>
  <si>
    <t>'0097974904</t>
  </si>
  <si>
    <t>'0085464051</t>
  </si>
  <si>
    <t>'0083294906</t>
  </si>
  <si>
    <t>'0089825918</t>
  </si>
  <si>
    <t>'0083685072</t>
  </si>
  <si>
    <t>'0082810904</t>
  </si>
  <si>
    <t>'0086184790</t>
  </si>
  <si>
    <t>'0086817562</t>
  </si>
  <si>
    <t>'0092997447</t>
  </si>
  <si>
    <t>'0092485558</t>
  </si>
  <si>
    <t>'0099348876</t>
  </si>
  <si>
    <t>'0082771565</t>
  </si>
  <si>
    <t>'0097728097</t>
  </si>
  <si>
    <t>'0082634532</t>
  </si>
  <si>
    <t>'0081181843</t>
  </si>
  <si>
    <t>'0096000787</t>
  </si>
  <si>
    <t>'0085524548</t>
  </si>
  <si>
    <t>'0097615841</t>
  </si>
  <si>
    <t>'0092396357</t>
  </si>
  <si>
    <t>'0084869247</t>
  </si>
  <si>
    <t>'0077337602</t>
  </si>
  <si>
    <t>'0095608917</t>
  </si>
  <si>
    <t>'0086805347</t>
  </si>
  <si>
    <t>'0088889641</t>
  </si>
  <si>
    <t>'0095837915</t>
  </si>
  <si>
    <t>'0094206943</t>
  </si>
  <si>
    <t>'0078109080</t>
  </si>
  <si>
    <t>'0085933178</t>
  </si>
  <si>
    <t>'0091825438</t>
  </si>
  <si>
    <t>'0094364943</t>
  </si>
  <si>
    <t>'0094206677</t>
  </si>
  <si>
    <t>'0082524073</t>
  </si>
  <si>
    <t>'0089920722</t>
  </si>
  <si>
    <t>'0075041699</t>
  </si>
  <si>
    <t>'0081917532</t>
  </si>
  <si>
    <t>'0084330526</t>
  </si>
  <si>
    <t>'0095916390</t>
  </si>
  <si>
    <t>'0098400872</t>
  </si>
  <si>
    <t>'0096224668</t>
  </si>
  <si>
    <t>'0085511168</t>
  </si>
  <si>
    <t>'0097425518</t>
  </si>
  <si>
    <t>'0093742549</t>
  </si>
  <si>
    <t>'0081910102</t>
  </si>
  <si>
    <t>'0083119718</t>
  </si>
  <si>
    <t>'0092802498</t>
  </si>
  <si>
    <t>'0079623120</t>
  </si>
  <si>
    <t>'0084507529</t>
  </si>
  <si>
    <t>'0091704892</t>
  </si>
  <si>
    <t>'0099601312</t>
  </si>
  <si>
    <t>'0088298933</t>
  </si>
  <si>
    <t>'0159813116</t>
  </si>
  <si>
    <t>'0098929887</t>
  </si>
  <si>
    <t>'3080864213</t>
  </si>
  <si>
    <t>'0087560617</t>
  </si>
  <si>
    <t>'0084513297</t>
  </si>
  <si>
    <t>'0085820389</t>
  </si>
  <si>
    <t>'0097416871</t>
  </si>
  <si>
    <t>'0087592274</t>
  </si>
  <si>
    <t>'3086276867</t>
  </si>
  <si>
    <t>'0079850551</t>
  </si>
  <si>
    <t>'0096540148</t>
  </si>
  <si>
    <t>'0081293395</t>
  </si>
  <si>
    <t>'0082922947</t>
  </si>
  <si>
    <t>'0086624169</t>
  </si>
  <si>
    <t>'0093059372</t>
  </si>
  <si>
    <t>'0083191059</t>
  </si>
  <si>
    <t>'0099437968</t>
  </si>
  <si>
    <t>'0083793982</t>
  </si>
  <si>
    <t>'0089300118</t>
  </si>
  <si>
    <t>'0082868574</t>
  </si>
  <si>
    <t>'0097346087</t>
  </si>
  <si>
    <t>'0079724945</t>
  </si>
  <si>
    <t>'0089207784</t>
  </si>
  <si>
    <t>'0086035236</t>
  </si>
  <si>
    <t>'0075811434</t>
  </si>
  <si>
    <t>'0066026701</t>
  </si>
  <si>
    <t>'0081309591</t>
  </si>
  <si>
    <t>'0083939613</t>
  </si>
  <si>
    <t>'0081688530</t>
  </si>
  <si>
    <t>'0094435388</t>
  </si>
  <si>
    <t>'3085887242</t>
  </si>
  <si>
    <t>'0096309165</t>
  </si>
  <si>
    <t>'3098014019</t>
  </si>
  <si>
    <t>'0095911025</t>
  </si>
  <si>
    <t>'0081984824</t>
  </si>
  <si>
    <t>'0098793916</t>
  </si>
  <si>
    <t>'0081126190</t>
  </si>
  <si>
    <t>'0091442583</t>
  </si>
  <si>
    <t>'0095274751</t>
  </si>
  <si>
    <t>'0084822208</t>
  </si>
  <si>
    <t>'0087786316</t>
  </si>
  <si>
    <t>'0085403685</t>
  </si>
  <si>
    <t>'0081745986</t>
  </si>
  <si>
    <t>'0097799992</t>
  </si>
  <si>
    <t>'0083209698</t>
  </si>
  <si>
    <t>'0089954696</t>
  </si>
  <si>
    <t>'0099915460</t>
  </si>
  <si>
    <t>'0093236623</t>
  </si>
  <si>
    <t>'0088641207</t>
  </si>
  <si>
    <t>'3087619507</t>
  </si>
  <si>
    <t>'0094306852</t>
  </si>
  <si>
    <t>'0081707292</t>
  </si>
  <si>
    <t>'0085593254</t>
  </si>
  <si>
    <t>'0093702848</t>
  </si>
  <si>
    <t>'0084239517</t>
  </si>
  <si>
    <t>'0098980654</t>
  </si>
  <si>
    <t>'0083818410</t>
  </si>
  <si>
    <t>'0083430276</t>
  </si>
  <si>
    <t>'0085553470</t>
  </si>
  <si>
    <t>'0081437333</t>
  </si>
  <si>
    <t>'0093768104</t>
  </si>
  <si>
    <t>'0096666421</t>
  </si>
  <si>
    <t>'0086359464</t>
  </si>
  <si>
    <t>'0083141230</t>
  </si>
  <si>
    <t>'0081596809</t>
  </si>
  <si>
    <t>'0083096934</t>
  </si>
  <si>
    <t>'0087993550</t>
  </si>
  <si>
    <t>'0086741649</t>
  </si>
  <si>
    <t>'0081893026</t>
  </si>
  <si>
    <t>'0097810552</t>
  </si>
  <si>
    <t>'0082873631</t>
  </si>
  <si>
    <t>'0083033124</t>
  </si>
  <si>
    <t>'0086049504</t>
  </si>
  <si>
    <t>'0095763897</t>
  </si>
  <si>
    <t>'0087619505</t>
  </si>
  <si>
    <t>'0091652639</t>
  </si>
  <si>
    <t>'0093492847</t>
  </si>
  <si>
    <t>'0088506299</t>
  </si>
  <si>
    <t>'0097725391</t>
  </si>
  <si>
    <t>'0097419864</t>
  </si>
  <si>
    <t>'0085339911</t>
  </si>
  <si>
    <t>'0093381301</t>
  </si>
  <si>
    <t>'0081379251</t>
  </si>
  <si>
    <t>'0104904297</t>
  </si>
  <si>
    <t>'0081499742</t>
  </si>
  <si>
    <t>'0085359859</t>
  </si>
  <si>
    <t>'0084078022</t>
  </si>
  <si>
    <t>'0084934981</t>
  </si>
  <si>
    <t>'0084978692</t>
  </si>
  <si>
    <t>'0089236436</t>
  </si>
  <si>
    <t>'0081033760</t>
  </si>
  <si>
    <t>'0082891957</t>
  </si>
  <si>
    <t>'0085778853</t>
  </si>
  <si>
    <t>'0096980712</t>
  </si>
  <si>
    <t>'0098357702</t>
  </si>
  <si>
    <t>'0083178469</t>
  </si>
  <si>
    <t>'0088185992</t>
  </si>
  <si>
    <t>'0086032542</t>
  </si>
  <si>
    <t>'0094370050</t>
  </si>
  <si>
    <t>'0055606422</t>
  </si>
  <si>
    <t>'0091762891</t>
  </si>
  <si>
    <t>'0094475722</t>
  </si>
  <si>
    <t>'0087947393</t>
  </si>
  <si>
    <t>'0085850748</t>
  </si>
  <si>
    <t>'0086294801</t>
  </si>
  <si>
    <t>'0089855582</t>
  </si>
  <si>
    <t>'0089279404</t>
  </si>
  <si>
    <t>'0088468489</t>
  </si>
  <si>
    <t>'0099557677</t>
  </si>
  <si>
    <t>'0083700937</t>
  </si>
  <si>
    <t>'0092206631</t>
  </si>
  <si>
    <t>'0098658388</t>
  </si>
  <si>
    <t>'0096893222</t>
  </si>
  <si>
    <t>'0089041363</t>
  </si>
  <si>
    <t>'0085983558</t>
  </si>
  <si>
    <t>'0096968585</t>
  </si>
  <si>
    <t>'0082992374</t>
  </si>
  <si>
    <t>'0094806171</t>
  </si>
  <si>
    <t>'0089615214</t>
  </si>
  <si>
    <t>'0083673994</t>
  </si>
  <si>
    <t>'0083596035</t>
  </si>
  <si>
    <t>'0081523164</t>
  </si>
  <si>
    <t>'0096228171</t>
  </si>
  <si>
    <t>'0073712127</t>
  </si>
  <si>
    <t>'0091903913</t>
  </si>
  <si>
    <t>'0085982029</t>
  </si>
  <si>
    <t>'0099852741</t>
  </si>
  <si>
    <t>'0097287772</t>
  </si>
  <si>
    <t>'0097325226</t>
  </si>
  <si>
    <t>'0085872324</t>
  </si>
  <si>
    <t>'0097638609</t>
  </si>
  <si>
    <t>'0084283584</t>
  </si>
  <si>
    <t>'0084116535</t>
  </si>
  <si>
    <t>'0093928052</t>
  </si>
  <si>
    <t>'0089525016</t>
  </si>
  <si>
    <t>'0087911238</t>
  </si>
  <si>
    <t>'0086073433</t>
  </si>
  <si>
    <t>'0071852038</t>
  </si>
  <si>
    <t>'0083128301</t>
  </si>
  <si>
    <t>'0089241158</t>
  </si>
  <si>
    <t>'0096112168</t>
  </si>
  <si>
    <t>'0091509924</t>
  </si>
  <si>
    <t>'0097570079</t>
  </si>
  <si>
    <t>'0091793281</t>
  </si>
  <si>
    <t>'0094474390</t>
  </si>
  <si>
    <t>'0096012464</t>
  </si>
  <si>
    <t>'0081945204</t>
  </si>
  <si>
    <t>'0088161200</t>
  </si>
  <si>
    <t>'0081327779</t>
  </si>
  <si>
    <t>'0081998369</t>
  </si>
  <si>
    <t>'0083982088</t>
  </si>
  <si>
    <t>'0079342855</t>
  </si>
  <si>
    <t>'0078683049</t>
  </si>
  <si>
    <t>'0083807012</t>
  </si>
  <si>
    <t>'0089995401</t>
  </si>
  <si>
    <t>'0099522564</t>
  </si>
  <si>
    <t>'0071382180</t>
  </si>
  <si>
    <t>'0093522516</t>
  </si>
  <si>
    <t>'0084793337</t>
  </si>
  <si>
    <t>'0091605449</t>
  </si>
  <si>
    <t>AZ'ZAHRA AULIA SIFA</t>
  </si>
  <si>
    <t>'0088155731</t>
  </si>
  <si>
    <t>'0086242753</t>
  </si>
  <si>
    <t>'0093135991</t>
  </si>
  <si>
    <t>'0083379286</t>
  </si>
  <si>
    <t>'0083985450</t>
  </si>
  <si>
    <t>'0093894495</t>
  </si>
  <si>
    <t>'0092882434</t>
  </si>
  <si>
    <t>'0084997172</t>
  </si>
  <si>
    <t>'0091128813</t>
  </si>
  <si>
    <t>'0082088112</t>
  </si>
  <si>
    <t>'0082992992</t>
  </si>
  <si>
    <t>'0083734123</t>
  </si>
  <si>
    <t>'0088290558</t>
  </si>
  <si>
    <t>'0085622012</t>
  </si>
  <si>
    <t>'0091913626</t>
  </si>
  <si>
    <t>'0082197063</t>
  </si>
  <si>
    <t>'0089276278</t>
  </si>
  <si>
    <t>'0084108891</t>
  </si>
  <si>
    <t>'0081113580</t>
  </si>
  <si>
    <t>'0093252855</t>
  </si>
  <si>
    <t>RAKHAN SABDA PANGRUNGU</t>
  </si>
  <si>
    <t>'0086294944</t>
  </si>
  <si>
    <t>'0089751566</t>
  </si>
  <si>
    <t>'0097531456</t>
  </si>
  <si>
    <t>'0088346510</t>
  </si>
  <si>
    <t>'0097685872</t>
  </si>
  <si>
    <t>'0088960559</t>
  </si>
  <si>
    <t>'0095695457</t>
  </si>
  <si>
    <t>'0092893640</t>
  </si>
  <si>
    <t>'0081172446</t>
  </si>
  <si>
    <t>'0084720270</t>
  </si>
  <si>
    <t>'0082370482</t>
  </si>
  <si>
    <t>'0084770773</t>
  </si>
  <si>
    <t>'0083464632</t>
  </si>
  <si>
    <t>'0089252500</t>
  </si>
  <si>
    <t>'0081184822</t>
  </si>
  <si>
    <t>'0091589846</t>
  </si>
  <si>
    <t>'0073481839</t>
  </si>
  <si>
    <t>'0088230323</t>
  </si>
  <si>
    <t>'0097011529</t>
  </si>
  <si>
    <t>'0081237060</t>
  </si>
  <si>
    <t>'0094082972</t>
  </si>
  <si>
    <t>'0085880508</t>
  </si>
  <si>
    <t>'0097208843</t>
  </si>
  <si>
    <t>'0072029594</t>
  </si>
  <si>
    <t>'0085388723</t>
  </si>
  <si>
    <t>'0079884337</t>
  </si>
  <si>
    <t>'3087328397</t>
  </si>
  <si>
    <t>'0081609602</t>
  </si>
  <si>
    <t>'0089443894</t>
  </si>
  <si>
    <t>'0089966970</t>
  </si>
  <si>
    <t>'0092859254</t>
  </si>
  <si>
    <t>'0091205809</t>
  </si>
  <si>
    <t>'3081268743</t>
  </si>
  <si>
    <t>'0086941145</t>
  </si>
  <si>
    <t>'0082426888</t>
  </si>
  <si>
    <t>'0087336774</t>
  </si>
  <si>
    <t>'0081189780</t>
  </si>
  <si>
    <t>'0081543003</t>
  </si>
  <si>
    <t>'0094434909</t>
  </si>
  <si>
    <t>'0091973187</t>
  </si>
  <si>
    <t>'0084565279</t>
  </si>
  <si>
    <t>'0092872595</t>
  </si>
  <si>
    <t>'0082521657</t>
  </si>
  <si>
    <t>'0077027737</t>
  </si>
  <si>
    <t>'0086181892</t>
  </si>
  <si>
    <t>'0083613816</t>
  </si>
  <si>
    <t>'0088425652</t>
  </si>
  <si>
    <t>'0085359124</t>
  </si>
  <si>
    <t>'0082443659</t>
  </si>
  <si>
    <t>'0082077733</t>
  </si>
  <si>
    <t>'0093146556</t>
  </si>
  <si>
    <t>'0097036914</t>
  </si>
  <si>
    <t>'0083417749</t>
  </si>
  <si>
    <t>'0082438032</t>
  </si>
  <si>
    <t>'0091804647</t>
  </si>
  <si>
    <t>'0082682873</t>
  </si>
  <si>
    <t>'0098085115</t>
  </si>
  <si>
    <t>'0081256288</t>
  </si>
  <si>
    <t>'0106282267</t>
  </si>
  <si>
    <t>'0087613261</t>
  </si>
  <si>
    <t>'0098745755</t>
  </si>
  <si>
    <t>'0083648116</t>
  </si>
  <si>
    <t>'0099042256</t>
  </si>
  <si>
    <t>'0091532254</t>
  </si>
  <si>
    <t>'0081388567</t>
  </si>
  <si>
    <t>'3084384994</t>
  </si>
  <si>
    <t xml:space="preserve">'0088299663 </t>
  </si>
  <si>
    <t>'0089632871</t>
  </si>
  <si>
    <t>'0085551443</t>
  </si>
  <si>
    <t>'0095189148</t>
  </si>
  <si>
    <t>'0096305666</t>
  </si>
  <si>
    <t>'0081164559</t>
  </si>
  <si>
    <t>'0086828808</t>
  </si>
  <si>
    <t>'0088881014</t>
  </si>
  <si>
    <t>'0082737472</t>
  </si>
  <si>
    <t>'0083904892</t>
  </si>
  <si>
    <t>'0092849597</t>
  </si>
  <si>
    <t>'0089498334</t>
  </si>
  <si>
    <t>'0087762463</t>
  </si>
  <si>
    <t>'0084491951</t>
  </si>
  <si>
    <t>'0084834790</t>
  </si>
  <si>
    <t>'0081681931</t>
  </si>
  <si>
    <t>'0071687475</t>
  </si>
  <si>
    <t>'0083303156</t>
  </si>
  <si>
    <t>'0081297131</t>
  </si>
  <si>
    <t>'0096300927</t>
  </si>
  <si>
    <t>'0095283317</t>
  </si>
  <si>
    <t>'0077563336</t>
  </si>
  <si>
    <t>'0093035799</t>
  </si>
  <si>
    <t>'0082815770</t>
  </si>
  <si>
    <t>NANDY DHARUSMAN</t>
  </si>
  <si>
    <t>'0086586024</t>
  </si>
  <si>
    <t>'0092022105</t>
  </si>
  <si>
    <t>'0098104106</t>
  </si>
  <si>
    <t>'0094511762</t>
  </si>
  <si>
    <t>'0098567661</t>
  </si>
  <si>
    <t>SALMAN HANIF HADI YANSYAH</t>
  </si>
  <si>
    <t>'0082076782</t>
  </si>
  <si>
    <t>'0087430689</t>
  </si>
  <si>
    <t xml:space="preserve">, </t>
  </si>
  <si>
    <t xml:space="preserve">                                       TAHUN PELAJARAN         : 2026-2027</t>
  </si>
  <si>
    <t xml:space="preserve">                                                              TAHUN PELAJARAN         : 2026-2027</t>
  </si>
  <si>
    <t xml:space="preserve">                                                               TAHUN PELAJARAN         : 2026-2027</t>
  </si>
  <si>
    <t xml:space="preserve">                                                                               TAHUN PELAJARAN         : 2026-2027</t>
  </si>
  <si>
    <t xml:space="preserve">                                                                        TAHUN PELAJARAN         : 2026-2027</t>
  </si>
  <si>
    <t xml:space="preserve">                                                                                TAHUN PELAJARAN         : 2026-2027</t>
  </si>
  <si>
    <t>Garut,      Juli 2026</t>
  </si>
  <si>
    <t>WARYA GARIN</t>
  </si>
  <si>
    <t>252619221115</t>
  </si>
  <si>
    <t>YUDA SATRIA</t>
  </si>
  <si>
    <t>SUCI OKTAVIANI</t>
  </si>
  <si>
    <t>MARSELIA DWI MULYANI</t>
  </si>
  <si>
    <t>: XII TJKT 3</t>
  </si>
  <si>
    <t>: XII TJKT 2</t>
  </si>
  <si>
    <t>: XII TJKT 1</t>
  </si>
  <si>
    <t>: XI TJKT 1</t>
  </si>
  <si>
    <t>: XI TJKT 2</t>
  </si>
  <si>
    <t>: XI TJKT 3</t>
  </si>
  <si>
    <t xml:space="preserve">                                                                                   </t>
  </si>
  <si>
    <t>: 1   /   2</t>
  </si>
  <si>
    <t xml:space="preserve">                                                               </t>
  </si>
  <si>
    <t xml:space="preserve">                                                              </t>
  </si>
  <si>
    <t xml:space="preserve">PROGRAM KEAHLIAN     </t>
  </si>
  <si>
    <t xml:space="preserve">: TEKNIK OTOMOTIF  </t>
  </si>
  <si>
    <t>BIDANG KEAHLIAN</t>
  </si>
  <si>
    <t>: TEKNOLOGI MANUFAKTUR DAN REKAYASA</t>
  </si>
  <si>
    <t xml:space="preserve">KONSENTRASI KEAHLIAN     </t>
  </si>
  <si>
    <t xml:space="preserve">: TEKNIK KENDARAAN RINGAN(TKR)  </t>
  </si>
  <si>
    <t xml:space="preserve">SEMESTER  </t>
  </si>
  <si>
    <t>: TEKNOLOGI INFORMASI</t>
  </si>
  <si>
    <t xml:space="preserve">: TEKNIK JARINGAN KOMPUTER DAN TELEKOMUNIKASI (TJKT) </t>
  </si>
  <si>
    <t>: SENI DAN EKONOMI KREATIF</t>
  </si>
  <si>
    <t xml:space="preserve">: DESAIN KOMUNIKASI VISUAL(DKV)  </t>
  </si>
  <si>
    <t>: BISNIS DAN MANAJEMEN</t>
  </si>
  <si>
    <t>: MANAJEMEN PERKANTORAN DAN LAYANAN BISNIS</t>
  </si>
  <si>
    <t>: X DKV 1</t>
  </si>
  <si>
    <t>0103352118</t>
  </si>
  <si>
    <t>ABDIE AHMAD GOJALI</t>
  </si>
  <si>
    <t>0101497409</t>
  </si>
  <si>
    <t>Adam Hermawan</t>
  </si>
  <si>
    <t>0102085429</t>
  </si>
  <si>
    <t>Agil Yusuf Ivandar</t>
  </si>
  <si>
    <t>0109831795</t>
  </si>
  <si>
    <t>ANGGI NURYATI</t>
  </si>
  <si>
    <t>0107400991</t>
  </si>
  <si>
    <t>Anzani Nayma Milanisti</t>
  </si>
  <si>
    <t>0108484033</t>
  </si>
  <si>
    <t>ATEP ARDIAN</t>
  </si>
  <si>
    <t>0103347639</t>
  </si>
  <si>
    <t>AZKANIA GEPIRA</t>
  </si>
  <si>
    <t>0111930010</t>
  </si>
  <si>
    <t>Dea Fitria</t>
  </si>
  <si>
    <t>0116160527</t>
  </si>
  <si>
    <t>DECA ARTIKA SARI</t>
  </si>
  <si>
    <t>0107942288</t>
  </si>
  <si>
    <t>DHETA KUSUMA ATMAJA</t>
  </si>
  <si>
    <t>0101724608</t>
  </si>
  <si>
    <t>FANESA AULIA NURNAILA</t>
  </si>
  <si>
    <t>0107836654</t>
  </si>
  <si>
    <t>Galih Maulana Akbar</t>
  </si>
  <si>
    <t>0103627515</t>
  </si>
  <si>
    <t>GEISHA FAIRUZ MUTIARA SARI</t>
  </si>
  <si>
    <t>0115365725</t>
  </si>
  <si>
    <t>INDAH SILFIA</t>
  </si>
  <si>
    <t>0114000287</t>
  </si>
  <si>
    <t>LENI FU`ADAH USWATUN HASANAH</t>
  </si>
  <si>
    <t>0102898983</t>
  </si>
  <si>
    <t>MUHAMAD ABDUL LATIEF</t>
  </si>
  <si>
    <t>0104789964</t>
  </si>
  <si>
    <t>MUHAMAD RAFA NUGRAHA</t>
  </si>
  <si>
    <t>0105667767</t>
  </si>
  <si>
    <t>MUHAMAD REFAN</t>
  </si>
  <si>
    <t>0091700551</t>
  </si>
  <si>
    <t>NABIL MUHAMAD HAIKAL</t>
  </si>
  <si>
    <t>0116865707</t>
  </si>
  <si>
    <t>Nadila Nur Maulida</t>
  </si>
  <si>
    <t>0104496150</t>
  </si>
  <si>
    <t>NADIRA NURUL FADILAH</t>
  </si>
  <si>
    <t>0108574414</t>
  </si>
  <si>
    <t>PUTRI ANNAZWA SAIDAH</t>
  </si>
  <si>
    <t>0106616365</t>
  </si>
  <si>
    <t>PUTRI APRILIANI</t>
  </si>
  <si>
    <t>0109530591</t>
  </si>
  <si>
    <t>RAFFA FADILLAH</t>
  </si>
  <si>
    <t>0101170068</t>
  </si>
  <si>
    <t>Rapiqi Reja Rohman</t>
  </si>
  <si>
    <t>0106869462</t>
  </si>
  <si>
    <t>Resya Triana</t>
  </si>
  <si>
    <t>0109645457</t>
  </si>
  <si>
    <t>Reval Diansyah Lubis</t>
  </si>
  <si>
    <t>0103948080</t>
  </si>
  <si>
    <t>RIFKI FAJAR ARDIANSYAH</t>
  </si>
  <si>
    <t>0107590754</t>
  </si>
  <si>
    <t>RIMA NURSABILA</t>
  </si>
  <si>
    <t>0109947601</t>
  </si>
  <si>
    <t>RISKY MAULANA</t>
  </si>
  <si>
    <t>0093306255</t>
  </si>
  <si>
    <t>Rizal Ahmad Almahali</t>
  </si>
  <si>
    <t>0107044726</t>
  </si>
  <si>
    <t>SAHRUL AZMI</t>
  </si>
  <si>
    <t>0116989904</t>
  </si>
  <si>
    <t>SRI AYU SETIA  NINGRUM</t>
  </si>
  <si>
    <t>0116615454</t>
  </si>
  <si>
    <t>Suci Anggraeni</t>
  </si>
  <si>
    <t>0105797376</t>
  </si>
  <si>
    <t>Suci Ramadani</t>
  </si>
  <si>
    <t>0102494425</t>
  </si>
  <si>
    <t>Yoga Saputra</t>
  </si>
  <si>
    <t>: X DKV 2</t>
  </si>
  <si>
    <t>0114472101</t>
  </si>
  <si>
    <t>Abi Pebrian</t>
  </si>
  <si>
    <t>0113501269</t>
  </si>
  <si>
    <t>AHMAD KHOERUDIN</t>
  </si>
  <si>
    <t>0108075454</t>
  </si>
  <si>
    <t>ALYA AGUSTINA NURAENI</t>
  </si>
  <si>
    <t>0114968954</t>
  </si>
  <si>
    <t>ANDINA TRI HAPSARI</t>
  </si>
  <si>
    <t>0108605939</t>
  </si>
  <si>
    <t>Cep Hasbi Faisal Mubaroq</t>
  </si>
  <si>
    <t>0105626761</t>
  </si>
  <si>
    <t>Daffa Dzakwan Faiq</t>
  </si>
  <si>
    <t>0106500121</t>
  </si>
  <si>
    <t>DANAN RIZKY</t>
  </si>
  <si>
    <t>0103320655</t>
  </si>
  <si>
    <t>Dina Sri Rahayu</t>
  </si>
  <si>
    <t>0106966108</t>
  </si>
  <si>
    <t>Fachry Ahmad Andreansyah</t>
  </si>
  <si>
    <t>0116492636</t>
  </si>
  <si>
    <t>FAHIRA KHAERUNISYA</t>
  </si>
  <si>
    <t>0103858426</t>
  </si>
  <si>
    <t>FRISKA QOTRUNNADA</t>
  </si>
  <si>
    <t>0116847242</t>
  </si>
  <si>
    <t>GHEFIRA ANANDA PUTRI</t>
  </si>
  <si>
    <t>0105198251</t>
  </si>
  <si>
    <t>HILSA INTANSARI</t>
  </si>
  <si>
    <t>0112978015</t>
  </si>
  <si>
    <t>Irfan Nuryana</t>
  </si>
  <si>
    <t>0109339296</t>
  </si>
  <si>
    <t>Keyza Deliani</t>
  </si>
  <si>
    <t>0111658669</t>
  </si>
  <si>
    <t>MAULANA ABDUL FATAH</t>
  </si>
  <si>
    <t>0102628869</t>
  </si>
  <si>
    <t>MOCHAMMAD RAJA ALHAFIZY</t>
  </si>
  <si>
    <t>0101187614</t>
  </si>
  <si>
    <t>MUHAMAD REHAN</t>
  </si>
  <si>
    <t>0102241961</t>
  </si>
  <si>
    <t>Muhammad Nizar</t>
  </si>
  <si>
    <t>0118396320</t>
  </si>
  <si>
    <t>NENGLIS KURNIA WATI</t>
  </si>
  <si>
    <t>0109239982</t>
  </si>
  <si>
    <t>Pazrin Muhammad Faruq</t>
  </si>
  <si>
    <t>0103685635</t>
  </si>
  <si>
    <t>PUTRA NAJAR SURYA</t>
  </si>
  <si>
    <t>0109426774</t>
  </si>
  <si>
    <t>RAISYA KULSUM</t>
  </si>
  <si>
    <t>0112944890</t>
  </si>
  <si>
    <t>RIANTY</t>
  </si>
  <si>
    <t>0092303553</t>
  </si>
  <si>
    <t>Rizki Fauzi</t>
  </si>
  <si>
    <t>0102185224</t>
  </si>
  <si>
    <t>SABILA HAIPA MURZANI</t>
  </si>
  <si>
    <t>0116973930</t>
  </si>
  <si>
    <t>Salman Alfaritsi Prasetya</t>
  </si>
  <si>
    <t>0103833869</t>
  </si>
  <si>
    <t>SANIATUL KAMILAH</t>
  </si>
  <si>
    <t>0106960575</t>
  </si>
  <si>
    <t>SELVI ANI</t>
  </si>
  <si>
    <t>0105551212</t>
  </si>
  <si>
    <t>SINTIA SARI</t>
  </si>
  <si>
    <t>0118115124</t>
  </si>
  <si>
    <t>SITI HASANAH</t>
  </si>
  <si>
    <t>0111514249</t>
  </si>
  <si>
    <t>Syafa Abdiya</t>
  </si>
  <si>
    <t>0119890877</t>
  </si>
  <si>
    <t>Syifa Nur Auliya</t>
  </si>
  <si>
    <t>0107462465</t>
  </si>
  <si>
    <t>WILDAN PRATAMA</t>
  </si>
  <si>
    <t>0107801235</t>
  </si>
  <si>
    <t>Windianingsih</t>
  </si>
  <si>
    <t>: X DKV 3</t>
  </si>
  <si>
    <t>0105535937</t>
  </si>
  <si>
    <t>Acep Suhendar</t>
  </si>
  <si>
    <t>0104510873</t>
  </si>
  <si>
    <t>ANDRI MOHAMAD RIZKI</t>
  </si>
  <si>
    <t>0109294052</t>
  </si>
  <si>
    <t>Angga Hermawan</t>
  </si>
  <si>
    <t>0106757644</t>
  </si>
  <si>
    <t>APRILIA ANASTASYA</t>
  </si>
  <si>
    <t>0108885146</t>
  </si>
  <si>
    <t>ASTI APRILIANTI</t>
  </si>
  <si>
    <t>0106732135</t>
  </si>
  <si>
    <t>Ceng Muhammad Abdul Fatah</t>
  </si>
  <si>
    <t>0108175603</t>
  </si>
  <si>
    <t>DINA NUR FITRI</t>
  </si>
  <si>
    <t>0113101971</t>
  </si>
  <si>
    <t>FAHMI MAJID</t>
  </si>
  <si>
    <t>3106961836</t>
  </si>
  <si>
    <t>FIDIA NURMALITA</t>
  </si>
  <si>
    <t>0101059857</t>
  </si>
  <si>
    <t>GESYA SITI MARIAM</t>
  </si>
  <si>
    <t>0109622841</t>
  </si>
  <si>
    <t>INDRY MAYDINA SEPTIANA</t>
  </si>
  <si>
    <t>0114332746</t>
  </si>
  <si>
    <t>IRMA IKLYMA NINGTIAS</t>
  </si>
  <si>
    <t>0107416095</t>
  </si>
  <si>
    <t>JASMINE PUTRI PANGEMANAN</t>
  </si>
  <si>
    <t>0119709639</t>
  </si>
  <si>
    <t>Jesica Aprilia</t>
  </si>
  <si>
    <t>0104167178</t>
  </si>
  <si>
    <t>Laila Safitri</t>
  </si>
  <si>
    <t>0113470374</t>
  </si>
  <si>
    <t>LINGGA BANI GIFARI</t>
  </si>
  <si>
    <t>0118558091</t>
  </si>
  <si>
    <t>M RAFFA ALLFA RIZKI</t>
  </si>
  <si>
    <t>0109528865</t>
  </si>
  <si>
    <t>Mohamad Pahri Prayoga</t>
  </si>
  <si>
    <t>0107971351</t>
  </si>
  <si>
    <t>MUHAMAD AZIE LINARDY</t>
  </si>
  <si>
    <t>0108121111</t>
  </si>
  <si>
    <t>Muhamad Fazri Firmansah</t>
  </si>
  <si>
    <t>0108322156</t>
  </si>
  <si>
    <t>NAELI DEVI AYU RATNASARI</t>
  </si>
  <si>
    <t>0115468894</t>
  </si>
  <si>
    <t>NAHYA SRI NIRMALA LARASATI</t>
  </si>
  <si>
    <t>0117995227</t>
  </si>
  <si>
    <t>Nazwa Sapana</t>
  </si>
  <si>
    <t>0105568653</t>
  </si>
  <si>
    <t>REVAN AHMAD SUHERMAN</t>
  </si>
  <si>
    <t>0118476098</t>
  </si>
  <si>
    <t>RIFKI ADITIA</t>
  </si>
  <si>
    <t>0103639155</t>
  </si>
  <si>
    <t>Rijal</t>
  </si>
  <si>
    <t>0116490953</t>
  </si>
  <si>
    <t>Rika Siti Khoiriyah</t>
  </si>
  <si>
    <t>0104820334</t>
  </si>
  <si>
    <t>RIRIN RHIYANTI</t>
  </si>
  <si>
    <t>0102064346</t>
  </si>
  <si>
    <t>RIZKI SETIAWAN</t>
  </si>
  <si>
    <t>0106847424</t>
  </si>
  <si>
    <t>SANTI NUR ANGGRAENI</t>
  </si>
  <si>
    <t>0109272161</t>
  </si>
  <si>
    <t>SHERIL AULIA LARASATI</t>
  </si>
  <si>
    <t>0104333441</t>
  </si>
  <si>
    <t>SITI PADILAH</t>
  </si>
  <si>
    <t>0112881099</t>
  </si>
  <si>
    <t>Siti Syarah Auliya</t>
  </si>
  <si>
    <t>0119874665</t>
  </si>
  <si>
    <t>Vitha Ramadhanie</t>
  </si>
  <si>
    <t>0113632102</t>
  </si>
  <si>
    <t>Widia Rahmawati</t>
  </si>
  <si>
    <t>: X DKV 4</t>
  </si>
  <si>
    <t>0107314672</t>
  </si>
  <si>
    <t>Alif Maulana Nurcahyana</t>
  </si>
  <si>
    <t>0103813231</t>
  </si>
  <si>
    <t>ALVIN CHANDRA</t>
  </si>
  <si>
    <t>0109740953</t>
  </si>
  <si>
    <t>Davina Apriliani</t>
  </si>
  <si>
    <t>0114273385</t>
  </si>
  <si>
    <t>Eva Sopia Aprilia</t>
  </si>
  <si>
    <t>0101824614</t>
  </si>
  <si>
    <t>EZZA AGUNG PURNAMA</t>
  </si>
  <si>
    <t>0106723354</t>
  </si>
  <si>
    <t>FATUR ALMUNAWAR SUKMAWAN</t>
  </si>
  <si>
    <t>0094954159</t>
  </si>
  <si>
    <t>Fittriah Salsabila</t>
  </si>
  <si>
    <t>0106231406</t>
  </si>
  <si>
    <t>GILANG NUR AZIZ</t>
  </si>
  <si>
    <t>0119735517</t>
  </si>
  <si>
    <t>HERA NATASYA</t>
  </si>
  <si>
    <t>0119879604</t>
  </si>
  <si>
    <t>Higni Vebrian Mubarok</t>
  </si>
  <si>
    <t>0115341695</t>
  </si>
  <si>
    <t>Ilmi Rahma Wati</t>
  </si>
  <si>
    <t>0119481293</t>
  </si>
  <si>
    <t>JULYA DJAHRA SALSABILA</t>
  </si>
  <si>
    <t>0104728536</t>
  </si>
  <si>
    <t>KAISAR PARIST PRADHA</t>
  </si>
  <si>
    <t>0114218916</t>
  </si>
  <si>
    <t>Maulidya Azzahra</t>
  </si>
  <si>
    <t>0116722934</t>
  </si>
  <si>
    <t>MOCHAMAD RIFQI RAZIQ HANANIA</t>
  </si>
  <si>
    <t>0115042624</t>
  </si>
  <si>
    <t>Muhamad Wildansah Saputra</t>
  </si>
  <si>
    <t>0106100624</t>
  </si>
  <si>
    <t>Muhammad Alya Muhyiddin</t>
  </si>
  <si>
    <t>0106592532</t>
  </si>
  <si>
    <t>MUHAMMAD FAZMI ABDUL GHOFUR</t>
  </si>
  <si>
    <t>0108773109</t>
  </si>
  <si>
    <t>MUHAMMAD HABIBI</t>
  </si>
  <si>
    <t>0117421781</t>
  </si>
  <si>
    <t>NITA SITI MASITOH</t>
  </si>
  <si>
    <t>0109106609</t>
  </si>
  <si>
    <t>NOVITA INDRIYANTI</t>
  </si>
  <si>
    <t>0117818564</t>
  </si>
  <si>
    <t>NUR APRILIANTI</t>
  </si>
  <si>
    <t>0106455737</t>
  </si>
  <si>
    <t>NURRINA MAWILA</t>
  </si>
  <si>
    <t>0105641730</t>
  </si>
  <si>
    <t>Raisya Sri Wulandari</t>
  </si>
  <si>
    <t>0104397219</t>
  </si>
  <si>
    <t>RHIVAN MARCELINO SAPUTRA</t>
  </si>
  <si>
    <t>0119619066</t>
  </si>
  <si>
    <t>Rizki Mahmud</t>
  </si>
  <si>
    <t>0118665367</t>
  </si>
  <si>
    <t>RIZKY PRADITIA</t>
  </si>
  <si>
    <t>0101251211</t>
  </si>
  <si>
    <t>SENDI SAEPULOH</t>
  </si>
  <si>
    <t>0106382885</t>
  </si>
  <si>
    <t>SILMA NUR NAFISYA</t>
  </si>
  <si>
    <t>0118751138</t>
  </si>
  <si>
    <t>SILVANA SALAM</t>
  </si>
  <si>
    <t>0117026319</t>
  </si>
  <si>
    <t>SINDY AULIA</t>
  </si>
  <si>
    <t>0108252799</t>
  </si>
  <si>
    <t>SUCI AULIA RAHMADANI</t>
  </si>
  <si>
    <t>0119124922</t>
  </si>
  <si>
    <t>Talitha Fatih Aqilah</t>
  </si>
  <si>
    <t>0094988862</t>
  </si>
  <si>
    <t>Titin Widiya Ningsih</t>
  </si>
  <si>
    <t>0114355890</t>
  </si>
  <si>
    <t>Verlita Angel</t>
  </si>
  <si>
    <t>: X MP 1</t>
  </si>
  <si>
    <t>0109929359</t>
  </si>
  <si>
    <t>AISYAH NURUL HUSNA</t>
  </si>
  <si>
    <t>0104686192</t>
  </si>
  <si>
    <t>ANDINI RAMADHANI</t>
  </si>
  <si>
    <t>0101955981</t>
  </si>
  <si>
    <t>CANTIKA SALSA ASMARA</t>
  </si>
  <si>
    <t>0104925359</t>
  </si>
  <si>
    <t>Dea Siska Oktaviani</t>
  </si>
  <si>
    <t>0105197858</t>
  </si>
  <si>
    <t>DELLA NURAZIJAH</t>
  </si>
  <si>
    <t>0114804893</t>
  </si>
  <si>
    <t>DETTY NURKANIA</t>
  </si>
  <si>
    <t>0112201374</t>
  </si>
  <si>
    <t>DZALVA PUTRI MAULIDYA</t>
  </si>
  <si>
    <t>0101278446</t>
  </si>
  <si>
    <t>FANY NOVIANITA</t>
  </si>
  <si>
    <t>0104273349</t>
  </si>
  <si>
    <t>Fina Haerunisa</t>
  </si>
  <si>
    <t>0098592012</t>
  </si>
  <si>
    <t>FITRI AYU NINGSIH</t>
  </si>
  <si>
    <t>0106856083</t>
  </si>
  <si>
    <t>HANA SRI WAHYUNI</t>
  </si>
  <si>
    <t>0107321956</t>
  </si>
  <si>
    <t>Hanifah Rosmiati</t>
  </si>
  <si>
    <t>0118283489</t>
  </si>
  <si>
    <t>INTAN HERLINA</t>
  </si>
  <si>
    <t>0104799634</t>
  </si>
  <si>
    <t>KESYA NURNATA NAELA</t>
  </si>
  <si>
    <t>0104388783</t>
  </si>
  <si>
    <t>Laiqa Shaista Noya</t>
  </si>
  <si>
    <t>0101144677</t>
  </si>
  <si>
    <t>MITA NUR ANASTASYA</t>
  </si>
  <si>
    <t>0105724440</t>
  </si>
  <si>
    <t>NATASYA PUTRI</t>
  </si>
  <si>
    <t>0108989405</t>
  </si>
  <si>
    <t>NAZWA ANGGITA SABILA</t>
  </si>
  <si>
    <t>0109294148</t>
  </si>
  <si>
    <t>Nazwa Siti Latifah</t>
  </si>
  <si>
    <t>0108632325</t>
  </si>
  <si>
    <t>Nesya Sri Apsari</t>
  </si>
  <si>
    <t>3106788540</t>
  </si>
  <si>
    <t>NOURMA ROSIDAH</t>
  </si>
  <si>
    <t>0104486315</t>
  </si>
  <si>
    <t>Novi Nuraulia Setiawan</t>
  </si>
  <si>
    <t>0114287050</t>
  </si>
  <si>
    <t>Rahma Andini</t>
  </si>
  <si>
    <t>0106726477</t>
  </si>
  <si>
    <t>REISYA NUR FADILAH</t>
  </si>
  <si>
    <t>0109165994</t>
  </si>
  <si>
    <t>RINDA AFRILIA</t>
  </si>
  <si>
    <t>0111325814</t>
  </si>
  <si>
    <t>Rini Marlina</t>
  </si>
  <si>
    <t>0104252243</t>
  </si>
  <si>
    <t>SAPUTRA SEPTIANA ARDINA ALI</t>
  </si>
  <si>
    <t>0114160689</t>
  </si>
  <si>
    <t>SELPI NURAENI</t>
  </si>
  <si>
    <t>0113146653</t>
  </si>
  <si>
    <t>SEPTIANA RAHAYU</t>
  </si>
  <si>
    <t>0102603037</t>
  </si>
  <si>
    <t>Sila Arianti Zahira</t>
  </si>
  <si>
    <t>0113357870</t>
  </si>
  <si>
    <t>SILVI ADJAHRA</t>
  </si>
  <si>
    <t>0114298145</t>
  </si>
  <si>
    <t>SINDY AMELIA PUTRI</t>
  </si>
  <si>
    <t>0101229722</t>
  </si>
  <si>
    <t>SINTIA RAHMA FRANSISKA</t>
  </si>
  <si>
    <t>0103616563</t>
  </si>
  <si>
    <t>Syifa Paridah</t>
  </si>
  <si>
    <t>0101849685</t>
  </si>
  <si>
    <t>Widia Aulia Sari</t>
  </si>
  <si>
    <t>: X MP 2</t>
  </si>
  <si>
    <t>0117449796</t>
  </si>
  <si>
    <t>Ajeng Noviyanti</t>
  </si>
  <si>
    <t>0118225700</t>
  </si>
  <si>
    <t>AMELIA PUSPITA</t>
  </si>
  <si>
    <t>0118184957</t>
  </si>
  <si>
    <t>Anesa</t>
  </si>
  <si>
    <t>0116795023</t>
  </si>
  <si>
    <t>ANGGITA ANJANI</t>
  </si>
  <si>
    <t>0118096921</t>
  </si>
  <si>
    <t>Anisa Sri Wulandari</t>
  </si>
  <si>
    <t>0115326479</t>
  </si>
  <si>
    <t>APRILLYA NURASYFAH</t>
  </si>
  <si>
    <t>0117700717</t>
  </si>
  <si>
    <t>Ardhanis Dheqa Wiyangtama</t>
  </si>
  <si>
    <t>0118863778</t>
  </si>
  <si>
    <t>CAHAYA FATIMAH ADZAHRA</t>
  </si>
  <si>
    <t>0105989034</t>
  </si>
  <si>
    <t>Chelssea tery futry</t>
  </si>
  <si>
    <t>0109470290</t>
  </si>
  <si>
    <t>Dellia Saffa Mellisa</t>
  </si>
  <si>
    <t>0103744722</t>
  </si>
  <si>
    <t>DESTI OKTAVIANI</t>
  </si>
  <si>
    <t>0114794019</t>
  </si>
  <si>
    <t>FAULLA AWALAN NISA</t>
  </si>
  <si>
    <t>0113077680</t>
  </si>
  <si>
    <t>Febrianti Salsabila</t>
  </si>
  <si>
    <t>0115079922</t>
  </si>
  <si>
    <t>HUSNA ZAZIA PUTRI KAMAL</t>
  </si>
  <si>
    <t>0113036950</t>
  </si>
  <si>
    <t>Kireyna Algania</t>
  </si>
  <si>
    <t>0114910444</t>
  </si>
  <si>
    <t>LUSI HERLINA</t>
  </si>
  <si>
    <t>0109360379</t>
  </si>
  <si>
    <t>Nabila Meisyafira</t>
  </si>
  <si>
    <t>0104863266</t>
  </si>
  <si>
    <t>Nacilla Eliyani</t>
  </si>
  <si>
    <t>0115826312</t>
  </si>
  <si>
    <t>NAIDA ZAHRAN</t>
  </si>
  <si>
    <t>0108395776</t>
  </si>
  <si>
    <t>NAZWA ZAHARA NURJANAH</t>
  </si>
  <si>
    <t>0108429659</t>
  </si>
  <si>
    <t>NENG NESTI SULASTRI</t>
  </si>
  <si>
    <t>0108701229</t>
  </si>
  <si>
    <t>NUR FEBRI SALSABILA</t>
  </si>
  <si>
    <t>0101047820</t>
  </si>
  <si>
    <t>QONITAT SITI SOLIHAH</t>
  </si>
  <si>
    <t>0106937270</t>
  </si>
  <si>
    <t>Risa Kurnia Dila</t>
  </si>
  <si>
    <t>0103427038</t>
  </si>
  <si>
    <t>RISMA MERLINA</t>
  </si>
  <si>
    <t>0113572931</t>
  </si>
  <si>
    <t>SAEPUL NIZAM</t>
  </si>
  <si>
    <t>0097723898</t>
  </si>
  <si>
    <t>SINTIA ZAHRA</t>
  </si>
  <si>
    <t>0114794353</t>
  </si>
  <si>
    <t>SITI AMELIA ILHAMI</t>
  </si>
  <si>
    <t>0105991898</t>
  </si>
  <si>
    <t>Tania Tri Wulan</t>
  </si>
  <si>
    <t>0109604689</t>
  </si>
  <si>
    <t>TIA RAHAYU</t>
  </si>
  <si>
    <t>0105722394</t>
  </si>
  <si>
    <t>Vanessa Nazzila Irfani</t>
  </si>
  <si>
    <t>0102499429</t>
  </si>
  <si>
    <t>WIKA CANTIKA</t>
  </si>
  <si>
    <t>0118268788</t>
  </si>
  <si>
    <t>Yuni Yulianti</t>
  </si>
  <si>
    <t>0107747313</t>
  </si>
  <si>
    <t>Zahrotu Silvani</t>
  </si>
  <si>
    <t>0116159643</t>
  </si>
  <si>
    <t>Zalianti Nur`aeni</t>
  </si>
  <si>
    <t>: X TKR 1</t>
  </si>
  <si>
    <t>0107191568</t>
  </si>
  <si>
    <t>A`iman Nurrasa</t>
  </si>
  <si>
    <t>0117981660</t>
  </si>
  <si>
    <t>AHMAD FAUZI</t>
  </si>
  <si>
    <t>0102781066</t>
  </si>
  <si>
    <t>APRIZAL NURDIANSYAH</t>
  </si>
  <si>
    <t>0106958772</t>
  </si>
  <si>
    <t>ARBI FARRELIANSYAH</t>
  </si>
  <si>
    <t>0116827783</t>
  </si>
  <si>
    <t>ARIF AHMAD BUDIMAN</t>
  </si>
  <si>
    <t>0094524116</t>
  </si>
  <si>
    <t>Arip Saripudin</t>
  </si>
  <si>
    <t>0108673803</t>
  </si>
  <si>
    <t>David Ahmad Pahrizi</t>
  </si>
  <si>
    <t>0105829406</t>
  </si>
  <si>
    <t>DEDE AGUNG GUMELAR</t>
  </si>
  <si>
    <t>0106861061</t>
  </si>
  <si>
    <t>ERVAN YUSUP MAULANA</t>
  </si>
  <si>
    <t>0105685396</t>
  </si>
  <si>
    <t>ERWIN</t>
  </si>
  <si>
    <t>3107502388</t>
  </si>
  <si>
    <t>EVIN TAJUL ARIFIN</t>
  </si>
  <si>
    <t>0109706958</t>
  </si>
  <si>
    <t>FAJRI MUHAMAD ABDUL GHANI</t>
  </si>
  <si>
    <t>0113968771</t>
  </si>
  <si>
    <t>IZMI SAWARGA TAMAMI HASAN</t>
  </si>
  <si>
    <t>0103107533</t>
  </si>
  <si>
    <t>MEKI SAENURI</t>
  </si>
  <si>
    <t>0109007025</t>
  </si>
  <si>
    <t>Moch Adam</t>
  </si>
  <si>
    <t>0098219042</t>
  </si>
  <si>
    <t>MUHAMAD ALDI FIRMANSYAH</t>
  </si>
  <si>
    <t>0109938644</t>
  </si>
  <si>
    <t>MUHAMAD ALFIANSYAH</t>
  </si>
  <si>
    <t>0102445087</t>
  </si>
  <si>
    <t>MUHAMAD BADEN SAPUTRA</t>
  </si>
  <si>
    <t>0108332301</t>
  </si>
  <si>
    <t>MUHAMAD FAHMI ALFARIZAL</t>
  </si>
  <si>
    <t>0108299098</t>
  </si>
  <si>
    <t>MUHAMMAD DALFHA APDALLAH</t>
  </si>
  <si>
    <t>0106049736</t>
  </si>
  <si>
    <t>MUHAMMAD HAYKAL KURNIAWAN</t>
  </si>
  <si>
    <t>0103256220</t>
  </si>
  <si>
    <t>Muhammad Luthfi Erlangga</t>
  </si>
  <si>
    <t>0107857451</t>
  </si>
  <si>
    <t>MUHAMMAD REHAN FAUZAN GUFRON</t>
  </si>
  <si>
    <t>0119753663</t>
  </si>
  <si>
    <t>Nizam Azkha Arkhanantha</t>
  </si>
  <si>
    <t>0103102074</t>
  </si>
  <si>
    <t>Radithya Fazhlurrohman Al Qosam</t>
  </si>
  <si>
    <t>0104063360</t>
  </si>
  <si>
    <t>Raja Arsya Putra</t>
  </si>
  <si>
    <t>0102735432</t>
  </si>
  <si>
    <t>RAKHA PRADANA WIRA SATRIADJI</t>
  </si>
  <si>
    <t>0103456382</t>
  </si>
  <si>
    <t>Rama Hermawan</t>
  </si>
  <si>
    <t>0104776094</t>
  </si>
  <si>
    <t>Randi Pangalila</t>
  </si>
  <si>
    <t>0103478965</t>
  </si>
  <si>
    <t>REVAN AHMAD RAMDANI</t>
  </si>
  <si>
    <t>0111297080</t>
  </si>
  <si>
    <t>Reza Kartasasmita</t>
  </si>
  <si>
    <t>0106926436</t>
  </si>
  <si>
    <t>RIZKY TAUFIK AKBAR</t>
  </si>
  <si>
    <t>0092860275</t>
  </si>
  <si>
    <t>SUGENG SUGIYANTO</t>
  </si>
  <si>
    <t>0105270228</t>
  </si>
  <si>
    <t>Syihabudin Aulana Malik Ibrahim</t>
  </si>
  <si>
    <t>: X TKR 2</t>
  </si>
  <si>
    <t>0108988958</t>
  </si>
  <si>
    <t>Adis Sittah Mubarok</t>
  </si>
  <si>
    <t>0102936770</t>
  </si>
  <si>
    <t>ADLIN RAMADHAN RISFIAN</t>
  </si>
  <si>
    <t>0113708090</t>
  </si>
  <si>
    <t>AKMAL HAIKAL AMIR</t>
  </si>
  <si>
    <t>0102418415</t>
  </si>
  <si>
    <t>ALIF SATRIATAMA</t>
  </si>
  <si>
    <t>0108061654</t>
  </si>
  <si>
    <t>Alip Nurjamil</t>
  </si>
  <si>
    <t>0109708549</t>
  </si>
  <si>
    <t>Alvian Firansyah</t>
  </si>
  <si>
    <t>0118568368</t>
  </si>
  <si>
    <t>ARDHI FERDIANSYAH</t>
  </si>
  <si>
    <t>0112092901</t>
  </si>
  <si>
    <t>ARIF MAULANA YUSUP</t>
  </si>
  <si>
    <t>0114838461</t>
  </si>
  <si>
    <t>FAIZAL NUR YUDA</t>
  </si>
  <si>
    <t>0109726630</t>
  </si>
  <si>
    <t>0105913786</t>
  </si>
  <si>
    <t>FIRMANSYAH</t>
  </si>
  <si>
    <t>0102674752</t>
  </si>
  <si>
    <t>HARDIANSAH</t>
  </si>
  <si>
    <t>0102774578</t>
  </si>
  <si>
    <t>Ilham Hidayatulloh</t>
  </si>
  <si>
    <t>0112013401</t>
  </si>
  <si>
    <t>JAKI AHMAD ROBBI</t>
  </si>
  <si>
    <t>0102940034</t>
  </si>
  <si>
    <t>JAMJAM JAMALUDIN</t>
  </si>
  <si>
    <t>0109815512</t>
  </si>
  <si>
    <t>KUSNAMA ALIYUDIN</t>
  </si>
  <si>
    <t>0103890665</t>
  </si>
  <si>
    <t>Muhamad Alan Maulana</t>
  </si>
  <si>
    <t>0108410097</t>
  </si>
  <si>
    <t>Muhammad Pasya Maulana</t>
  </si>
  <si>
    <t>0116012263</t>
  </si>
  <si>
    <t>Muhammad Ramdan</t>
  </si>
  <si>
    <t>0107802253</t>
  </si>
  <si>
    <t>MUHAMMAD RAMDANI</t>
  </si>
  <si>
    <t>0103055964</t>
  </si>
  <si>
    <t>Muhammad Zaki Ainulyakin</t>
  </si>
  <si>
    <t>0104548465</t>
  </si>
  <si>
    <t>NANDANG ABDUL ROHMAN</t>
  </si>
  <si>
    <t>0101004046</t>
  </si>
  <si>
    <t>NAZRIL JANWAR MUJDAFAR</t>
  </si>
  <si>
    <t>0119193660</t>
  </si>
  <si>
    <t>Ranezta Ramandita</t>
  </si>
  <si>
    <t>0101673413</t>
  </si>
  <si>
    <t>Rehan Maulana Malik</t>
  </si>
  <si>
    <t>0117866580</t>
  </si>
  <si>
    <t>RENDI NUGRAHA</t>
  </si>
  <si>
    <t>0103702324</t>
  </si>
  <si>
    <t>RENDI PIRMANSYAH</t>
  </si>
  <si>
    <t>0106125982</t>
  </si>
  <si>
    <t>Reyhan Albar Herdiawan</t>
  </si>
  <si>
    <t>0102832851</t>
  </si>
  <si>
    <t>Reza Sya`bana</t>
  </si>
  <si>
    <t>0107031493</t>
  </si>
  <si>
    <t>RIFKY AL KAHPA</t>
  </si>
  <si>
    <t>0107830647</t>
  </si>
  <si>
    <t>Sega Rahmat Hidayat</t>
  </si>
  <si>
    <t>0104543090</t>
  </si>
  <si>
    <t>TUBAGUS RASYA RHAMADAN</t>
  </si>
  <si>
    <t>0106298026</t>
  </si>
  <si>
    <t>WILDAN UMULUDIN</t>
  </si>
  <si>
    <t>0104469320</t>
  </si>
  <si>
    <t>YUDA NUGROHO EFENDI PUTRA</t>
  </si>
  <si>
    <t>0102555045</t>
  </si>
  <si>
    <t>ZULFI ZABARULOH AHDIAN</t>
  </si>
  <si>
    <t>: X TKR 3</t>
  </si>
  <si>
    <t>0102440744</t>
  </si>
  <si>
    <t>AGUS ABDUL ROJAK</t>
  </si>
  <si>
    <t>0103533158</t>
  </si>
  <si>
    <t>Ahmad Cahyadi</t>
  </si>
  <si>
    <t>0095944887</t>
  </si>
  <si>
    <t>AHMAD JAELANI</t>
  </si>
  <si>
    <t>0107081616</t>
  </si>
  <si>
    <t>AKMAL ABDUL QODIR</t>
  </si>
  <si>
    <t>0107243529</t>
  </si>
  <si>
    <t>ALAN LUDIRA</t>
  </si>
  <si>
    <t>0105913265</t>
  </si>
  <si>
    <t>Andika Rodiansyah</t>
  </si>
  <si>
    <t>0101120632</t>
  </si>
  <si>
    <t>DEDEN M RANGGA S.S</t>
  </si>
  <si>
    <t>0112158304</t>
  </si>
  <si>
    <t>DEVANO KEM ALFAREZA WILDAN</t>
  </si>
  <si>
    <t>0116356972</t>
  </si>
  <si>
    <t>Dias Angga</t>
  </si>
  <si>
    <t>0117685195</t>
  </si>
  <si>
    <t>ENDA APRYAN SUHERMAN</t>
  </si>
  <si>
    <t>0107741474</t>
  </si>
  <si>
    <t>Fahri Firmansah</t>
  </si>
  <si>
    <t>0109492231</t>
  </si>
  <si>
    <t>FAQIH HIDAYATULLOH</t>
  </si>
  <si>
    <t>0101093853</t>
  </si>
  <si>
    <t>Hanip Abdul Ajiz</t>
  </si>
  <si>
    <t>0109962424</t>
  </si>
  <si>
    <t>HELGI PURNAMA</t>
  </si>
  <si>
    <t>0119863936</t>
  </si>
  <si>
    <t>Heri Irawan</t>
  </si>
  <si>
    <t>0107178970</t>
  </si>
  <si>
    <t>Mochamad Nur Alfajri</t>
  </si>
  <si>
    <t>0109423330</t>
  </si>
  <si>
    <t>Mohamad Rizki Ramadani</t>
  </si>
  <si>
    <t>0116121445</t>
  </si>
  <si>
    <t>Muhamad Faisal Al-Faruk</t>
  </si>
  <si>
    <t>0101113224</t>
  </si>
  <si>
    <t>Muhamad Fikry Setiawan</t>
  </si>
  <si>
    <t>0106143614</t>
  </si>
  <si>
    <t>MUHAMAD RAFI MUHTAR</t>
  </si>
  <si>
    <t>0127063839</t>
  </si>
  <si>
    <t>Muhammad Ramdhan</t>
  </si>
  <si>
    <t>0119142321</t>
  </si>
  <si>
    <t>MUHAMMAD RIZKI BAEHAKI</t>
  </si>
  <si>
    <t>0096738277</t>
  </si>
  <si>
    <t>Nandar Alamsyah</t>
  </si>
  <si>
    <t>0117786795</t>
  </si>
  <si>
    <t>NAUFAL RIZKY HOERULAH</t>
  </si>
  <si>
    <t>0104612887</t>
  </si>
  <si>
    <t>Noval Akbar Muhammad</t>
  </si>
  <si>
    <t>0109482338</t>
  </si>
  <si>
    <t>Pahmi Putra Awaludin</t>
  </si>
  <si>
    <t>0108114140</t>
  </si>
  <si>
    <t>RAFKA FAISAL MUHAMMAD</t>
  </si>
  <si>
    <t>0094358289</t>
  </si>
  <si>
    <t>Raihan Muhamad Ramadani</t>
  </si>
  <si>
    <t>0109213943</t>
  </si>
  <si>
    <t>REZQY ADITHYA PUTRA</t>
  </si>
  <si>
    <t>0106234013</t>
  </si>
  <si>
    <t>RIDZKI NUGRAHA</t>
  </si>
  <si>
    <t>0118427869</t>
  </si>
  <si>
    <t>SENA MAHARDIKA</t>
  </si>
  <si>
    <t>0106696304</t>
  </si>
  <si>
    <t>Sopiyan Mulyana Alpauzi</t>
  </si>
  <si>
    <t>0101913993</t>
  </si>
  <si>
    <t>Ziyan Hamdani</t>
  </si>
  <si>
    <t>: X TKR 4</t>
  </si>
  <si>
    <t>0101447337</t>
  </si>
  <si>
    <t>AHMAD DZIKRI</t>
  </si>
  <si>
    <t>0105034626</t>
  </si>
  <si>
    <t>Abdullah Ramdani</t>
  </si>
  <si>
    <t>3102096201</t>
  </si>
  <si>
    <t>AHMAD NUR SIDIK</t>
  </si>
  <si>
    <t>0116924988</t>
  </si>
  <si>
    <t>Ahmad Risman Maulana</t>
  </si>
  <si>
    <t>0111167750</t>
  </si>
  <si>
    <t>ARIS MAULANA</t>
  </si>
  <si>
    <t>0107932928</t>
  </si>
  <si>
    <t>DANI PRADANA WIGUNA</t>
  </si>
  <si>
    <t>0109744304</t>
  </si>
  <si>
    <t>DIKA MAULANA</t>
  </si>
  <si>
    <t>0101276135</t>
  </si>
  <si>
    <t>Dimas Arisandi Dzul Fikri</t>
  </si>
  <si>
    <t>0108906128</t>
  </si>
  <si>
    <t>DONI KURNIADI</t>
  </si>
  <si>
    <t>0119102044</t>
  </si>
  <si>
    <t>GURUH TRIYADI</t>
  </si>
  <si>
    <t>0106810443</t>
  </si>
  <si>
    <t>IMAN HENDRAWAN</t>
  </si>
  <si>
    <t>0091421219</t>
  </si>
  <si>
    <t>Iqbal Surya Airlangga</t>
  </si>
  <si>
    <t>0105439344</t>
  </si>
  <si>
    <t>Jehan Sukamawijaya</t>
  </si>
  <si>
    <t>0102925996</t>
  </si>
  <si>
    <t>Juan Mulyawan</t>
  </si>
  <si>
    <t>0116644665</t>
  </si>
  <si>
    <t>KURNIAWAN</t>
  </si>
  <si>
    <t>0114571356</t>
  </si>
  <si>
    <t>MUHAMAD BRYANTARA YOGA</t>
  </si>
  <si>
    <t>0107452359</t>
  </si>
  <si>
    <t>MUHAMAD IKHSAN MAULANA</t>
  </si>
  <si>
    <t>3103600541</t>
  </si>
  <si>
    <t>MUHAMAD IKHSAN MAULANA SABARUDIN</t>
  </si>
  <si>
    <t>0108688112</t>
  </si>
  <si>
    <t>MUHAMAD RIFQI ANRIZAR FAWWAZ</t>
  </si>
  <si>
    <t>0101473731</t>
  </si>
  <si>
    <t>MUHAMMAD JAIDAN</t>
  </si>
  <si>
    <t>0102588417</t>
  </si>
  <si>
    <t>Muhammad Nadir Jawahir</t>
  </si>
  <si>
    <t>0107405903</t>
  </si>
  <si>
    <t>MUHAMMAD RIVAN ALIANSYAH</t>
  </si>
  <si>
    <t>0105857108</t>
  </si>
  <si>
    <t>Novan Ardiansyah</t>
  </si>
  <si>
    <t>0113518644</t>
  </si>
  <si>
    <t>Rafi Padil Maula</t>
  </si>
  <si>
    <t>0108125763</t>
  </si>
  <si>
    <t>REHAN LUDPIAN ARIAPUTRA</t>
  </si>
  <si>
    <t>0119817591</t>
  </si>
  <si>
    <t>Rido</t>
  </si>
  <si>
    <t>0092783952</t>
  </si>
  <si>
    <t>Ririk Riad Ramadani</t>
  </si>
  <si>
    <t>0106202399</t>
  </si>
  <si>
    <t>RISKHAN ADITYA RIZKI</t>
  </si>
  <si>
    <t>0103856659</t>
  </si>
  <si>
    <t>Rismana Revan Maulana</t>
  </si>
  <si>
    <t>0119589076</t>
  </si>
  <si>
    <t>RIZKI ADITYA</t>
  </si>
  <si>
    <t>0103633621</t>
  </si>
  <si>
    <t>Rizky Saepul Hidayat</t>
  </si>
  <si>
    <t>0111758374</t>
  </si>
  <si>
    <t>Rully Prayoga</t>
  </si>
  <si>
    <t>0102441131</t>
  </si>
  <si>
    <t>Zaky Hamzah Maulana</t>
  </si>
  <si>
    <t>0112353503</t>
  </si>
  <si>
    <t>ZILLANA NURMAULIDANSYAH</t>
  </si>
  <si>
    <t>: X TJKT 1</t>
  </si>
  <si>
    <t>0111422166</t>
  </si>
  <si>
    <t>AGUNG NUR SAEPUDIN</t>
  </si>
  <si>
    <t>0106125525</t>
  </si>
  <si>
    <t>Aisyah Putri</t>
  </si>
  <si>
    <t>0109677403</t>
  </si>
  <si>
    <t>ALFIN MULTAZAM</t>
  </si>
  <si>
    <t>0116098439</t>
  </si>
  <si>
    <t>ARGYA ORYZANI SUTAWIJAYA</t>
  </si>
  <si>
    <t>0108301525</t>
  </si>
  <si>
    <t>AUDRA ANATASYA HERDIANSYAH</t>
  </si>
  <si>
    <t>0105453494</t>
  </si>
  <si>
    <t>Cica Aulia Rizki</t>
  </si>
  <si>
    <t>0119380395</t>
  </si>
  <si>
    <t>ERFAN AKHDAN</t>
  </si>
  <si>
    <t>0107335002</t>
  </si>
  <si>
    <t>FADLAN MAULANA</t>
  </si>
  <si>
    <t>0104079308</t>
  </si>
  <si>
    <t>FATHANSYAH RISKY PRATAMA</t>
  </si>
  <si>
    <t>0111509049</t>
  </si>
  <si>
    <t>Fathir Gumilar</t>
  </si>
  <si>
    <t>0109993627</t>
  </si>
  <si>
    <t>Habib Ali</t>
  </si>
  <si>
    <t>0113264709</t>
  </si>
  <si>
    <t>ILHAM GUNAWAN</t>
  </si>
  <si>
    <t>0113546831</t>
  </si>
  <si>
    <t>INKA DEWI ANJANI</t>
  </si>
  <si>
    <t>0115321413</t>
  </si>
  <si>
    <t>Jajang Radistia</t>
  </si>
  <si>
    <t>0116272772</t>
  </si>
  <si>
    <t>KEYSA NABILA</t>
  </si>
  <si>
    <t>0108997984</t>
  </si>
  <si>
    <t>KHINANZA MEYLANI</t>
  </si>
  <si>
    <t>0104002888</t>
  </si>
  <si>
    <t>LINDA ANDRYANI</t>
  </si>
  <si>
    <t>0105651311</t>
  </si>
  <si>
    <t>Mario Supriatna</t>
  </si>
  <si>
    <t>0117613186</t>
  </si>
  <si>
    <t>MELY AMELIA</t>
  </si>
  <si>
    <t>0111054803</t>
  </si>
  <si>
    <t>MERI ZAHRA ZAHIRA</t>
  </si>
  <si>
    <t>0104990377</t>
  </si>
  <si>
    <t>MUHAMAD FADILLAH</t>
  </si>
  <si>
    <t>0104790295</t>
  </si>
  <si>
    <t>Muhamad Ibrahim Alsopandi</t>
  </si>
  <si>
    <t>0108183548</t>
  </si>
  <si>
    <t>MUHAMAD IKBAL MAULANA</t>
  </si>
  <si>
    <t>0108940051</t>
  </si>
  <si>
    <t>Muhamad Lutfi Nurdiansah</t>
  </si>
  <si>
    <t>0119667900</t>
  </si>
  <si>
    <t>MUHAMAD NUR FALLAH</t>
  </si>
  <si>
    <t>0119047852</t>
  </si>
  <si>
    <t>Muhamad Rijal Maulana</t>
  </si>
  <si>
    <t>0102875469</t>
  </si>
  <si>
    <t>NAJRIL MUHAMAD ILHAM</t>
  </si>
  <si>
    <t>0108537698</t>
  </si>
  <si>
    <t>PAUJAN MUHAMAD FAIK</t>
  </si>
  <si>
    <t>3115923401</t>
  </si>
  <si>
    <t>RENDI ALAMSYAH PUTRA</t>
  </si>
  <si>
    <t>0105810031</t>
  </si>
  <si>
    <t>RIKA NURMALASARI</t>
  </si>
  <si>
    <t>0113509203</t>
  </si>
  <si>
    <t>ROBI APRIYADI</t>
  </si>
  <si>
    <t>0107945802</t>
  </si>
  <si>
    <t>SATRIA MIZAZUDHA NUR AGHNA</t>
  </si>
  <si>
    <t>0116994308</t>
  </si>
  <si>
    <t>Siti Nurlela</t>
  </si>
  <si>
    <t>0097755356</t>
  </si>
  <si>
    <t>Uda Ima</t>
  </si>
  <si>
    <t>0107301506</t>
  </si>
  <si>
    <t>WILDAN HERLAMBANG</t>
  </si>
  <si>
    <t>0102451568</t>
  </si>
  <si>
    <t>Wulan Zahratul Fadillah</t>
  </si>
  <si>
    <t>: X TKJT 2</t>
  </si>
  <si>
    <t>0111285952</t>
  </si>
  <si>
    <t>0114452609</t>
  </si>
  <si>
    <t>AFDALL YAIZ ADITIA WIWAHA</t>
  </si>
  <si>
    <t>0118442928</t>
  </si>
  <si>
    <t>ANGGA KURNIA APRIYAWAN</t>
  </si>
  <si>
    <t>0112964709</t>
  </si>
  <si>
    <t>Angga Pratama</t>
  </si>
  <si>
    <t>0108129068</t>
  </si>
  <si>
    <t>Asep Saeful Maliq</t>
  </si>
  <si>
    <t>0103020754</t>
  </si>
  <si>
    <t>ASILA NURLESTARI</t>
  </si>
  <si>
    <t>0103848336</t>
  </si>
  <si>
    <t>DIAZ MUHAMMAD HARIRI</t>
  </si>
  <si>
    <t>0107836708</t>
  </si>
  <si>
    <t>DIAZ MUSA ILYAS</t>
  </si>
  <si>
    <t>0116692685</t>
  </si>
  <si>
    <t>Disti Amelinda Peby Rahayu</t>
  </si>
  <si>
    <t>0101547320</t>
  </si>
  <si>
    <t>Eka Ramdani</t>
  </si>
  <si>
    <t>0106913249</t>
  </si>
  <si>
    <t>ELSA AULIA</t>
  </si>
  <si>
    <t>0115185373</t>
  </si>
  <si>
    <t>Frisca Zahra Nasyifa</t>
  </si>
  <si>
    <t>0108649164</t>
  </si>
  <si>
    <t>GILAR SEPTIANA</t>
  </si>
  <si>
    <t>0111152396</t>
  </si>
  <si>
    <t>Haikal Bayu Ahsan</t>
  </si>
  <si>
    <t>0115867230</t>
  </si>
  <si>
    <t>HASNA NURUL JANNAH</t>
  </si>
  <si>
    <t>0111653106</t>
  </si>
  <si>
    <t>Hendi</t>
  </si>
  <si>
    <t>0178692011</t>
  </si>
  <si>
    <t>HENDI RIKO DWITAMA</t>
  </si>
  <si>
    <t>0102510997</t>
  </si>
  <si>
    <t>LUCKY ALFA RIZKY</t>
  </si>
  <si>
    <t>0107102383</t>
  </si>
  <si>
    <t>Mohamad Dika</t>
  </si>
  <si>
    <t>0105481817</t>
  </si>
  <si>
    <t>Muazzam Aqil Rizqi</t>
  </si>
  <si>
    <t>0107471387</t>
  </si>
  <si>
    <t>MUHAMMAD AL FAUZAN</t>
  </si>
  <si>
    <t>0109383863</t>
  </si>
  <si>
    <t>Muhammad Viqi Syahputra</t>
  </si>
  <si>
    <t>0102238064</t>
  </si>
  <si>
    <t>NAZWA KAMILA NOVIYANTI</t>
  </si>
  <si>
    <t>0112571296</t>
  </si>
  <si>
    <t>Nela Amelia Rohimah</t>
  </si>
  <si>
    <t>3107958618</t>
  </si>
  <si>
    <t>NURAENI</t>
  </si>
  <si>
    <t>0104487923</t>
  </si>
  <si>
    <t>Raisa Tiara</t>
  </si>
  <si>
    <t>0105205217</t>
  </si>
  <si>
    <t>RAKA AHMAD FAUZI</t>
  </si>
  <si>
    <t>0108644997</t>
  </si>
  <si>
    <t>Rival Destian</t>
  </si>
  <si>
    <t>0105666516</t>
  </si>
  <si>
    <t>Riyanti Nur Rezza Faoziah</t>
  </si>
  <si>
    <t>0107885587</t>
  </si>
  <si>
    <t>Ropi Ibrahim</t>
  </si>
  <si>
    <t>0101043823</t>
  </si>
  <si>
    <t>SOPIAN MUSTOPA</t>
  </si>
  <si>
    <t>0105813584</t>
  </si>
  <si>
    <t>Syandika Karunia</t>
  </si>
  <si>
    <t>0109081171</t>
  </si>
  <si>
    <t>Yesy Herawati</t>
  </si>
  <si>
    <t>0108276870</t>
  </si>
  <si>
    <t>Zahra Asifa</t>
  </si>
  <si>
    <t>: X TJKT 3</t>
  </si>
  <si>
    <t>0112504798</t>
  </si>
  <si>
    <t>ADITIA FIRMANSYAH</t>
  </si>
  <si>
    <t>0116833084</t>
  </si>
  <si>
    <t>Andika Eka Putra</t>
  </si>
  <si>
    <t>0119311998</t>
  </si>
  <si>
    <t>Anggy Cahyani</t>
  </si>
  <si>
    <t>0102305878</t>
  </si>
  <si>
    <t>Arul Ahmad Fahrurozi</t>
  </si>
  <si>
    <t>0107022643</t>
  </si>
  <si>
    <t>Arul Septian</t>
  </si>
  <si>
    <t>0104570599</t>
  </si>
  <si>
    <t>ASEP MUHAMAD PARHAN</t>
  </si>
  <si>
    <t>0104611077</t>
  </si>
  <si>
    <t>Azi Abdul Gani</t>
  </si>
  <si>
    <t>0099962386</t>
  </si>
  <si>
    <t>CAHYA GUMILAR ARDIANSYAH</t>
  </si>
  <si>
    <t>0115530612</t>
  </si>
  <si>
    <t>CANDRA SIROJ</t>
  </si>
  <si>
    <t>0116289735</t>
  </si>
  <si>
    <t>Emil Durohman</t>
  </si>
  <si>
    <t>0105083646</t>
  </si>
  <si>
    <t>Feri Supriatna</t>
  </si>
  <si>
    <t>0109163701</t>
  </si>
  <si>
    <t>Firly Adriano</t>
  </si>
  <si>
    <t>0104079833</t>
  </si>
  <si>
    <t>HENDRI RIKO PRATAMA</t>
  </si>
  <si>
    <t>0105276694</t>
  </si>
  <si>
    <t>Hilal Piqri Pratama</t>
  </si>
  <si>
    <t>0102425561</t>
  </si>
  <si>
    <t>INTAN SITI NUROHMAH</t>
  </si>
  <si>
    <t>0108116997</t>
  </si>
  <si>
    <t>Lisnawati Pratiwi</t>
  </si>
  <si>
    <t>0103736395</t>
  </si>
  <si>
    <t>MIDA SITI AMELIA</t>
  </si>
  <si>
    <t>0108668531</t>
  </si>
  <si>
    <t>MUHAMAD GILANG RAMADHAN</t>
  </si>
  <si>
    <t>0111353643</t>
  </si>
  <si>
    <t>Muhamad Haerul Muksin</t>
  </si>
  <si>
    <t>0105113928</t>
  </si>
  <si>
    <t>Muhamad Saepuloh Yusuf</t>
  </si>
  <si>
    <t>0119301163</t>
  </si>
  <si>
    <t>MUHAMMAD YUSRON FADILAH</t>
  </si>
  <si>
    <t>0104671082</t>
  </si>
  <si>
    <t>Neng Indri</t>
  </si>
  <si>
    <t>0102679734</t>
  </si>
  <si>
    <t>RANGGA SAHRUNI RAMADHAN</t>
  </si>
  <si>
    <t>0106448875</t>
  </si>
  <si>
    <t>Rezky Demiana</t>
  </si>
  <si>
    <t>0103051325</t>
  </si>
  <si>
    <t>Rifki Raissa Nohan</t>
  </si>
  <si>
    <t>0102035195</t>
  </si>
  <si>
    <t>RIZKY NURAHMAN</t>
  </si>
  <si>
    <t>0109924561</t>
  </si>
  <si>
    <t>SITI NURASIYAH</t>
  </si>
  <si>
    <t>0108350560</t>
  </si>
  <si>
    <t>SRI AINUN</t>
  </si>
  <si>
    <t>0118843373</t>
  </si>
  <si>
    <t>Suci</t>
  </si>
  <si>
    <t>0104993891</t>
  </si>
  <si>
    <t>Tasya Maurizka</t>
  </si>
  <si>
    <t>0107145496</t>
  </si>
  <si>
    <t>Yuli Yulianti</t>
  </si>
  <si>
    <t>: X TJKT 4</t>
  </si>
  <si>
    <t>0102874733</t>
  </si>
  <si>
    <t>Alfin Muhamad Rizki</t>
  </si>
  <si>
    <t>0103765627</t>
  </si>
  <si>
    <t>AHMAD RIZQI</t>
  </si>
  <si>
    <t>0103321943</t>
  </si>
  <si>
    <t>ALVITO ADIANOVA</t>
  </si>
  <si>
    <t>0101801848</t>
  </si>
  <si>
    <t>ANNISA</t>
  </si>
  <si>
    <t>0117607280</t>
  </si>
  <si>
    <t>Anton Muhamad Solihin</t>
  </si>
  <si>
    <t>0117818786</t>
  </si>
  <si>
    <t>ARDIE RENDRA APRILIANTO</t>
  </si>
  <si>
    <t>0114747132</t>
  </si>
  <si>
    <t>DANDY ERLANGGA</t>
  </si>
  <si>
    <t>0116270389</t>
  </si>
  <si>
    <t>Dede Liyana Claddia</t>
  </si>
  <si>
    <t>0119859507</t>
  </si>
  <si>
    <t>Dila Amelia</t>
  </si>
  <si>
    <t>0118895068</t>
  </si>
  <si>
    <t>ERLAND RIZKY FIRMANSYAH</t>
  </si>
  <si>
    <t>0118956180</t>
  </si>
  <si>
    <t>Fabian Nuril Hafiz</t>
  </si>
  <si>
    <t>0106740350</t>
  </si>
  <si>
    <t>FAUZAN MAULIDAN</t>
  </si>
  <si>
    <t>0109289952</t>
  </si>
  <si>
    <t>Gugun Guntara</t>
  </si>
  <si>
    <t>0094191770</t>
  </si>
  <si>
    <t>HILMI RAMDHANI</t>
  </si>
  <si>
    <t>0115527187</t>
  </si>
  <si>
    <t>Irfan Anugrah Pratama</t>
  </si>
  <si>
    <t>0113536775</t>
  </si>
  <si>
    <t>Marwan Nurjaman</t>
  </si>
  <si>
    <t>0114095953</t>
  </si>
  <si>
    <t>Melan Luthfia</t>
  </si>
  <si>
    <t>0102059881</t>
  </si>
  <si>
    <t>MIFTAH ULUMUDDIN</t>
  </si>
  <si>
    <t>0109777782</t>
  </si>
  <si>
    <t>MOCHAMAD REZA AL-ZANZANI</t>
  </si>
  <si>
    <t>0102179028</t>
  </si>
  <si>
    <t>MUHAMAD ARDY MAULANA</t>
  </si>
  <si>
    <t>0108594032</t>
  </si>
  <si>
    <t>MUHAMAD NIZAR MAULANA</t>
  </si>
  <si>
    <t>0108817094</t>
  </si>
  <si>
    <t>Muhamad Wildan Awaludin</t>
  </si>
  <si>
    <t>0101232958</t>
  </si>
  <si>
    <t>Nadila Misya</t>
  </si>
  <si>
    <t>0119630017</t>
  </si>
  <si>
    <t>Nael Januarsyah Taryana</t>
  </si>
  <si>
    <t>0108309643</t>
  </si>
  <si>
    <t>NOVA NURHALIZAH</t>
  </si>
  <si>
    <t>0107748593</t>
  </si>
  <si>
    <t>RAKA ABDILAH PRATAMA</t>
  </si>
  <si>
    <t>0113864976</t>
  </si>
  <si>
    <t>Resya Rahmawati</t>
  </si>
  <si>
    <t>0102980265</t>
  </si>
  <si>
    <t>Rifki Aditia</t>
  </si>
  <si>
    <t>0108705028</t>
  </si>
  <si>
    <t>Siti Fatimah Azzahra</t>
  </si>
  <si>
    <t>0117677986</t>
  </si>
  <si>
    <t>TAMA SAPUTRA</t>
  </si>
  <si>
    <t>0112268811</t>
  </si>
  <si>
    <t>Tasya Aulianti</t>
  </si>
  <si>
    <t>0109936627</t>
  </si>
  <si>
    <t>Tita Riyanti</t>
  </si>
  <si>
    <t>0111945726</t>
  </si>
  <si>
    <t>Zaenal Faruq Maulana</t>
  </si>
  <si>
    <t>: Yeni Siti Fitriyani, S.Pd</t>
  </si>
  <si>
    <t>: Lukmanul Hakim, S.T.</t>
  </si>
  <si>
    <t>: Yanti Yulianti, S.Pd.</t>
  </si>
  <si>
    <t>: Esa Nurul Ashri, S.Pd.</t>
  </si>
  <si>
    <t>: Apud Saepudin, S.Sn.</t>
  </si>
  <si>
    <t>: Riska Nafisah, S.E.</t>
  </si>
  <si>
    <t>: Riki Karisma, S.Pd.</t>
  </si>
  <si>
    <t>: Sarah Adhitia Rahayu, A.Md.</t>
  </si>
  <si>
    <t>: Akon Maulana, S.Pd.</t>
  </si>
  <si>
    <t>: Lia Maria Ulpa, S.Pd.</t>
  </si>
  <si>
    <t xml:space="preserve"> : Eva Nurfaidah, S.Pd.                                           </t>
  </si>
  <si>
    <t>: Soppa Sopia Nurcahyani, S.Pd.</t>
  </si>
  <si>
    <t>: Putri Febriana Rengganis, S.Pd.</t>
  </si>
  <si>
    <t>: Yana Cahyana, S.Kom.</t>
  </si>
  <si>
    <t>: Yayan Siti Nurjanah, S.Pd</t>
  </si>
  <si>
    <t>: Lina Lesta Shofa, S.Pd.</t>
  </si>
  <si>
    <t>: Enung Fitryani, S.Pd.</t>
  </si>
  <si>
    <t xml:space="preserve">: TEKNIK JARINGAN KOMPUTER &amp; TELEKOMUNIKASI (TJKT) </t>
  </si>
  <si>
    <t>: MANAJEMEN PERKANTORAN &amp; LAYANAN BISNIS</t>
  </si>
  <si>
    <t>: XII MP 1</t>
  </si>
  <si>
    <t>: XII MP 2</t>
  </si>
  <si>
    <t>: XII DKV 3</t>
  </si>
  <si>
    <t>: XII DKV 2</t>
  </si>
  <si>
    <t>: XII DKV 1</t>
  </si>
  <si>
    <t>: XII TKR 3</t>
  </si>
  <si>
    <t>: XII TKR 2</t>
  </si>
  <si>
    <t>: XII TKR 1</t>
  </si>
  <si>
    <t>: R. Dewi Fatimah, S.Pd.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</si>
</sst>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rgb="FF00B050"/>
      <name val="Calibri"/>
      <family val="2"/>
      <charset val="1"/>
      <scheme val="minor"/>
    </font>
    <font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name val="Book Antiqua"/>
      <family val="1"/>
    </font>
    <font>
      <sz val="10"/>
      <color indexed="8"/>
      <name val="Calibri"/>
      <family val="2"/>
    </font>
    <font>
      <sz val="8"/>
      <name val="Book Antiqua"/>
      <family val="1"/>
    </font>
    <font>
      <sz val="9"/>
      <name val="Book Antiqua"/>
      <family val="1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sz val="9"/>
      <color theme="1"/>
      <name val="Calibri"/>
      <family val="2"/>
      <scheme val="minor"/>
    </font>
    <font>
      <sz val="10"/>
      <color theme="5"/>
      <name val="Calibri"/>
      <family val="2"/>
    </font>
    <font>
      <sz val="10"/>
      <color theme="5"/>
      <name val="Book Antiqua"/>
      <family val="1"/>
    </font>
    <font>
      <sz val="11"/>
      <color theme="5"/>
      <name val="Times New Roman"/>
      <family val="1"/>
    </font>
    <font>
      <sz val="12"/>
      <color theme="5"/>
      <name val="Times New Roman"/>
      <family val="1"/>
    </font>
    <font>
      <sz val="11"/>
      <color theme="5"/>
      <name val="Calibri"/>
      <family val="2"/>
      <scheme val="minor"/>
    </font>
    <font>
      <sz val="10"/>
      <color theme="1" tint="0.14999847407452621"/>
      <name val="Calibri"/>
      <family val="2"/>
    </font>
    <font>
      <sz val="10"/>
      <color theme="1" tint="0.14999847407452621"/>
      <name val="Book Antiqua"/>
      <family val="1"/>
    </font>
    <font>
      <sz val="11"/>
      <color theme="1" tint="0.14999847407452621"/>
      <name val="Times New Roman"/>
      <family val="1"/>
    </font>
    <font>
      <sz val="12"/>
      <color theme="1" tint="0.14999847407452621"/>
      <name val="Times New Roman"/>
      <family val="1"/>
    </font>
    <font>
      <sz val="11"/>
      <color theme="1" tint="0.14999847407452621"/>
      <name val="Calibri"/>
      <family val="2"/>
      <scheme val="minor"/>
    </font>
    <font>
      <b/>
      <sz val="10"/>
      <name val="Times New Roman"/>
      <family val="1"/>
    </font>
    <font>
      <b/>
      <sz val="10"/>
      <name val="Book Antiqua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" fillId="0" borderId="0"/>
    <xf numFmtId="0" fontId="36" fillId="0" borderId="0"/>
  </cellStyleXfs>
  <cellXfs count="234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/>
    <xf numFmtId="0" fontId="12" fillId="0" borderId="1" xfId="0" applyFont="1" applyBorder="1"/>
    <xf numFmtId="0" fontId="7" fillId="0" borderId="1" xfId="0" applyFont="1" applyBorder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8" fillId="0" borderId="0" xfId="0" applyFont="1" applyAlignment="1">
      <alignment horizontal="center"/>
    </xf>
    <xf numFmtId="0" fontId="0" fillId="2" borderId="1" xfId="0" applyFill="1" applyBorder="1"/>
    <xf numFmtId="0" fontId="8" fillId="0" borderId="1" xfId="0" applyFont="1" applyBorder="1" applyAlignment="1">
      <alignment horizontal="center"/>
    </xf>
    <xf numFmtId="0" fontId="17" fillId="0" borderId="0" xfId="0" applyFont="1"/>
    <xf numFmtId="0" fontId="22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7" fillId="0" borderId="1" xfId="0" applyNumberFormat="1" applyFont="1" applyBorder="1"/>
    <xf numFmtId="0" fontId="8" fillId="0" borderId="12" xfId="0" applyFont="1" applyBorder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0" fillId="3" borderId="8" xfId="0" applyFill="1" applyBorder="1"/>
    <xf numFmtId="0" fontId="7" fillId="0" borderId="1" xfId="0" applyFont="1" applyBorder="1" applyAlignment="1">
      <alignment horizontal="center"/>
    </xf>
    <xf numFmtId="0" fontId="10" fillId="3" borderId="9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0" fillId="3" borderId="10" xfId="0" applyFill="1" applyBorder="1"/>
    <xf numFmtId="0" fontId="10" fillId="3" borderId="3" xfId="0" applyFont="1" applyFill="1" applyBorder="1" applyAlignment="1">
      <alignment vertical="center"/>
    </xf>
    <xf numFmtId="0" fontId="10" fillId="3" borderId="15" xfId="0" applyFont="1" applyFill="1" applyBorder="1" applyAlignment="1">
      <alignment vertical="center"/>
    </xf>
    <xf numFmtId="0" fontId="0" fillId="3" borderId="15" xfId="0" applyFill="1" applyBorder="1"/>
    <xf numFmtId="0" fontId="0" fillId="3" borderId="4" xfId="0" applyFill="1" applyBorder="1"/>
    <xf numFmtId="0" fontId="3" fillId="0" borderId="0" xfId="0" quotePrefix="1" applyFont="1"/>
    <xf numFmtId="0" fontId="3" fillId="0" borderId="0" xfId="0" applyFont="1"/>
    <xf numFmtId="0" fontId="24" fillId="0" borderId="0" xfId="0" applyFont="1" applyAlignment="1">
      <alignment horizontal="center"/>
    </xf>
    <xf numFmtId="0" fontId="21" fillId="0" borderId="0" xfId="0" applyFont="1"/>
    <xf numFmtId="0" fontId="9" fillId="0" borderId="0" xfId="0" applyFont="1" applyAlignment="1" applyProtection="1">
      <alignment vertical="center"/>
      <protection locked="0"/>
    </xf>
    <xf numFmtId="0" fontId="25" fillId="0" borderId="1" xfId="0" applyFont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0" borderId="0" xfId="0" quotePrefix="1" applyFont="1"/>
    <xf numFmtId="0" fontId="1" fillId="0" borderId="0" xfId="0" applyFont="1"/>
    <xf numFmtId="0" fontId="2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29" fillId="0" borderId="1" xfId="0" applyFont="1" applyBorder="1"/>
    <xf numFmtId="0" fontId="25" fillId="0" borderId="0" xfId="0" applyFont="1"/>
    <xf numFmtId="0" fontId="31" fillId="0" borderId="0" xfId="0" applyFont="1"/>
    <xf numFmtId="0" fontId="17" fillId="0" borderId="0" xfId="0" quotePrefix="1" applyFont="1"/>
    <xf numFmtId="0" fontId="26" fillId="0" borderId="0" xfId="0" applyFont="1"/>
    <xf numFmtId="0" fontId="12" fillId="0" borderId="0" xfId="0" applyFont="1" applyAlignment="1">
      <alignment horizontal="left" vertical="center"/>
    </xf>
    <xf numFmtId="0" fontId="16" fillId="0" borderId="0" xfId="0" applyFont="1"/>
    <xf numFmtId="0" fontId="0" fillId="0" borderId="16" xfId="0" applyBorder="1"/>
    <xf numFmtId="0" fontId="32" fillId="0" borderId="17" xfId="0" applyFont="1" applyBorder="1" applyAlignment="1">
      <alignment horizontal="center" vertical="top"/>
    </xf>
    <xf numFmtId="0" fontId="7" fillId="0" borderId="17" xfId="0" applyFont="1" applyBorder="1"/>
    <xf numFmtId="0" fontId="32" fillId="0" borderId="0" xfId="0" applyFont="1" applyAlignment="1">
      <alignment horizontal="left" vertical="top"/>
    </xf>
    <xf numFmtId="0" fontId="32" fillId="0" borderId="18" xfId="0" applyFont="1" applyBorder="1" applyAlignment="1">
      <alignment horizontal="center" vertical="top"/>
    </xf>
    <xf numFmtId="0" fontId="32" fillId="0" borderId="19" xfId="0" applyFont="1" applyBorder="1" applyAlignment="1">
      <alignment horizontal="left" vertical="top"/>
    </xf>
    <xf numFmtId="1" fontId="33" fillId="0" borderId="19" xfId="0" quotePrefix="1" applyNumberFormat="1" applyFont="1" applyBorder="1" applyAlignment="1">
      <alignment horizontal="left"/>
    </xf>
    <xf numFmtId="0" fontId="32" fillId="0" borderId="19" xfId="0" applyFont="1" applyBorder="1" applyAlignment="1">
      <alignment horizontal="center" vertical="top"/>
    </xf>
    <xf numFmtId="0" fontId="37" fillId="0" borderId="19" xfId="35" applyFont="1" applyBorder="1" applyAlignment="1">
      <alignment horizontal="center" vertical="center"/>
    </xf>
    <xf numFmtId="0" fontId="37" fillId="0" borderId="0" xfId="35" applyFont="1" applyAlignment="1">
      <alignment horizontal="center" vertical="center"/>
    </xf>
    <xf numFmtId="1" fontId="37" fillId="0" borderId="0" xfId="0" applyNumberFormat="1" applyFont="1"/>
    <xf numFmtId="0" fontId="37" fillId="0" borderId="0" xfId="0" applyFont="1"/>
    <xf numFmtId="0" fontId="0" fillId="0" borderId="0" xfId="0" applyAlignment="1">
      <alignment horizontal="center" vertical="center"/>
    </xf>
    <xf numFmtId="0" fontId="0" fillId="0" borderId="19" xfId="0" applyBorder="1"/>
    <xf numFmtId="0" fontId="7" fillId="0" borderId="0" xfId="0" applyFont="1" applyAlignment="1">
      <alignment horizontal="center"/>
    </xf>
    <xf numFmtId="0" fontId="32" fillId="0" borderId="0" xfId="0" applyFont="1" applyAlignment="1">
      <alignment horizontal="center" vertical="top"/>
    </xf>
    <xf numFmtId="1" fontId="33" fillId="0" borderId="0" xfId="0" quotePrefix="1" applyNumberFormat="1" applyFont="1" applyAlignment="1">
      <alignment horizontal="left"/>
    </xf>
    <xf numFmtId="0" fontId="12" fillId="0" borderId="19" xfId="0" applyFont="1" applyBorder="1"/>
    <xf numFmtId="0" fontId="32" fillId="0" borderId="20" xfId="0" applyFont="1" applyBorder="1" applyAlignment="1">
      <alignment horizontal="left" vertical="top"/>
    </xf>
    <xf numFmtId="0" fontId="22" fillId="0" borderId="0" xfId="0" applyFont="1"/>
    <xf numFmtId="0" fontId="10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8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0" fillId="0" borderId="20" xfId="0" applyBorder="1"/>
    <xf numFmtId="0" fontId="6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1" fontId="33" fillId="0" borderId="20" xfId="0" quotePrefix="1" applyNumberFormat="1" applyFont="1" applyBorder="1" applyAlignment="1">
      <alignment horizontal="left"/>
    </xf>
    <xf numFmtId="0" fontId="7" fillId="0" borderId="20" xfId="0" applyFont="1" applyBorder="1"/>
    <xf numFmtId="0" fontId="40" fillId="0" borderId="18" xfId="0" applyFont="1" applyBorder="1" applyAlignment="1">
      <alignment horizontal="center" vertical="top"/>
    </xf>
    <xf numFmtId="0" fontId="41" fillId="0" borderId="1" xfId="0" applyFont="1" applyBorder="1"/>
    <xf numFmtId="0" fontId="42" fillId="0" borderId="0" xfId="0" applyFont="1"/>
    <xf numFmtId="0" fontId="43" fillId="0" borderId="0" xfId="0" applyFont="1"/>
    <xf numFmtId="0" fontId="45" fillId="0" borderId="18" xfId="0" applyFont="1" applyBorder="1" applyAlignment="1">
      <alignment horizontal="center" vertical="top"/>
    </xf>
    <xf numFmtId="0" fontId="46" fillId="0" borderId="1" xfId="0" applyFont="1" applyBorder="1"/>
    <xf numFmtId="0" fontId="47" fillId="0" borderId="0" xfId="0" applyFont="1"/>
    <xf numFmtId="0" fontId="48" fillId="0" borderId="0" xfId="0" applyFont="1"/>
    <xf numFmtId="0" fontId="0" fillId="4" borderId="0" xfId="0" applyFill="1"/>
    <xf numFmtId="0" fontId="10" fillId="4" borderId="9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0" fillId="4" borderId="10" xfId="0" applyFill="1" applyBorder="1"/>
    <xf numFmtId="1" fontId="33" fillId="2" borderId="19" xfId="0" quotePrefix="1" applyNumberFormat="1" applyFont="1" applyFill="1" applyBorder="1" applyAlignment="1">
      <alignment horizontal="left"/>
    </xf>
    <xf numFmtId="0" fontId="32" fillId="2" borderId="19" xfId="0" applyFont="1" applyFill="1" applyBorder="1" applyAlignment="1">
      <alignment horizontal="left" vertical="top"/>
    </xf>
    <xf numFmtId="0" fontId="32" fillId="2" borderId="17" xfId="0" applyFont="1" applyFill="1" applyBorder="1" applyAlignment="1">
      <alignment horizontal="center" vertical="top"/>
    </xf>
    <xf numFmtId="0" fontId="7" fillId="2" borderId="1" xfId="0" applyFont="1" applyFill="1" applyBorder="1"/>
    <xf numFmtId="0" fontId="15" fillId="2" borderId="0" xfId="0" applyFont="1" applyFill="1"/>
    <xf numFmtId="0" fontId="0" fillId="2" borderId="0" xfId="0" applyFill="1"/>
    <xf numFmtId="0" fontId="0" fillId="5" borderId="0" xfId="0" applyFill="1"/>
    <xf numFmtId="0" fontId="32" fillId="0" borderId="5" xfId="0" applyFont="1" applyBorder="1" applyAlignment="1">
      <alignment horizontal="center" vertical="top"/>
    </xf>
    <xf numFmtId="0" fontId="37" fillId="2" borderId="19" xfId="35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top"/>
    </xf>
    <xf numFmtId="0" fontId="7" fillId="0" borderId="11" xfId="0" applyFont="1" applyBorder="1" applyAlignment="1"/>
    <xf numFmtId="0" fontId="7" fillId="0" borderId="20" xfId="0" applyFont="1" applyBorder="1" applyAlignment="1"/>
    <xf numFmtId="0" fontId="7" fillId="2" borderId="20" xfId="0" applyFont="1" applyFill="1" applyBorder="1" applyAlignment="1"/>
    <xf numFmtId="0" fontId="0" fillId="0" borderId="20" xfId="0" applyBorder="1" applyAlignment="1"/>
    <xf numFmtId="0" fontId="32" fillId="2" borderId="20" xfId="0" applyFont="1" applyFill="1" applyBorder="1" applyAlignment="1">
      <alignment vertical="top"/>
    </xf>
    <xf numFmtId="0" fontId="9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" fontId="33" fillId="2" borderId="0" xfId="0" quotePrefix="1" applyNumberFormat="1" applyFont="1" applyFill="1" applyAlignment="1">
      <alignment horizontal="left"/>
    </xf>
    <xf numFmtId="0" fontId="32" fillId="2" borderId="0" xfId="0" applyFont="1" applyFill="1" applyAlignment="1">
      <alignment horizontal="left" vertical="top"/>
    </xf>
    <xf numFmtId="0" fontId="8" fillId="2" borderId="0" xfId="0" applyFont="1" applyFill="1"/>
    <xf numFmtId="0" fontId="6" fillId="2" borderId="0" xfId="0" applyFont="1" applyFill="1"/>
    <xf numFmtId="0" fontId="14" fillId="2" borderId="0" xfId="0" applyFont="1" applyFill="1"/>
    <xf numFmtId="0" fontId="28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center"/>
    </xf>
    <xf numFmtId="0" fontId="0" fillId="2" borderId="19" xfId="0" applyFill="1" applyBorder="1"/>
    <xf numFmtId="0" fontId="12" fillId="2" borderId="19" xfId="0" quotePrefix="1" applyFont="1" applyFill="1" applyBorder="1"/>
    <xf numFmtId="0" fontId="30" fillId="2" borderId="0" xfId="0" applyFont="1" applyFill="1" applyAlignment="1">
      <alignment horizontal="left" vertical="center"/>
    </xf>
    <xf numFmtId="1" fontId="7" fillId="2" borderId="1" xfId="0" applyNumberFormat="1" applyFont="1" applyFill="1" applyBorder="1"/>
    <xf numFmtId="1" fontId="33" fillId="2" borderId="18" xfId="0" quotePrefix="1" applyNumberFormat="1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1" fontId="7" fillId="2" borderId="0" xfId="0" applyNumberFormat="1" applyFont="1" applyFill="1"/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4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32" fillId="2" borderId="18" xfId="0" applyFont="1" applyFill="1" applyBorder="1" applyAlignment="1">
      <alignment horizontal="left" vertical="top"/>
    </xf>
    <xf numFmtId="0" fontId="35" fillId="2" borderId="18" xfId="0" applyFont="1" applyFill="1" applyBorder="1" applyAlignment="1">
      <alignment horizontal="left" vertical="top"/>
    </xf>
    <xf numFmtId="0" fontId="34" fillId="2" borderId="18" xfId="0" applyFont="1" applyFill="1" applyBorder="1" applyAlignment="1">
      <alignment horizontal="left" vertical="top"/>
    </xf>
    <xf numFmtId="0" fontId="7" fillId="2" borderId="19" xfId="0" applyFont="1" applyFill="1" applyBorder="1" applyAlignment="1">
      <alignment horizontal="center"/>
    </xf>
    <xf numFmtId="1" fontId="7" fillId="2" borderId="19" xfId="0" applyNumberFormat="1" applyFont="1" applyFill="1" applyBorder="1"/>
    <xf numFmtId="0" fontId="0" fillId="2" borderId="19" xfId="0" applyFill="1" applyBorder="1" applyAlignment="1">
      <alignment vertical="center"/>
    </xf>
    <xf numFmtId="0" fontId="10" fillId="2" borderId="0" xfId="0" applyFont="1" applyFill="1" applyAlignment="1">
      <alignment horizontal="left"/>
    </xf>
    <xf numFmtId="0" fontId="37" fillId="2" borderId="0" xfId="35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2" fillId="2" borderId="0" xfId="0" applyFont="1" applyFill="1"/>
    <xf numFmtId="1" fontId="39" fillId="2" borderId="19" xfId="0" quotePrefix="1" applyNumberFormat="1" applyFont="1" applyFill="1" applyBorder="1" applyAlignment="1">
      <alignment horizontal="left"/>
    </xf>
    <xf numFmtId="0" fontId="40" fillId="2" borderId="19" xfId="0" applyFont="1" applyFill="1" applyBorder="1" applyAlignment="1">
      <alignment horizontal="left" vertical="top"/>
    </xf>
    <xf numFmtId="1" fontId="44" fillId="2" borderId="19" xfId="0" quotePrefix="1" applyNumberFormat="1" applyFont="1" applyFill="1" applyBorder="1" applyAlignment="1">
      <alignment horizontal="left"/>
    </xf>
    <xf numFmtId="0" fontId="45" fillId="2" borderId="19" xfId="0" applyFont="1" applyFill="1" applyBorder="1" applyAlignment="1">
      <alignment horizontal="left" vertical="top"/>
    </xf>
    <xf numFmtId="0" fontId="30" fillId="2" borderId="0" xfId="0" applyFont="1" applyFill="1" applyAlignment="1">
      <alignment vertical="center"/>
    </xf>
    <xf numFmtId="0" fontId="30" fillId="2" borderId="0" xfId="0" applyFont="1" applyFill="1" applyAlignment="1">
      <alignment horizontal="left"/>
    </xf>
    <xf numFmtId="0" fontId="38" fillId="2" borderId="0" xfId="0" applyFont="1" applyFill="1"/>
    <xf numFmtId="0" fontId="46" fillId="0" borderId="20" xfId="0" applyFont="1" applyBorder="1" applyAlignment="1"/>
    <xf numFmtId="0" fontId="8" fillId="2" borderId="20" xfId="0" applyFont="1" applyFill="1" applyBorder="1"/>
    <xf numFmtId="0" fontId="8" fillId="2" borderId="20" xfId="0" applyFont="1" applyFill="1" applyBorder="1" applyAlignment="1" applyProtection="1">
      <alignment vertical="center"/>
      <protection locked="0"/>
    </xf>
    <xf numFmtId="0" fontId="10" fillId="0" borderId="20" xfId="0" applyFont="1" applyBorder="1"/>
    <xf numFmtId="0" fontId="9" fillId="2" borderId="20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9" fillId="2" borderId="20" xfId="0" applyFont="1" applyFill="1" applyBorder="1"/>
    <xf numFmtId="0" fontId="9" fillId="0" borderId="20" xfId="0" applyFont="1" applyBorder="1"/>
    <xf numFmtId="0" fontId="9" fillId="2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left"/>
    </xf>
    <xf numFmtId="1" fontId="7" fillId="2" borderId="2" xfId="0" applyNumberFormat="1" applyFont="1" applyFill="1" applyBorder="1"/>
    <xf numFmtId="0" fontId="32" fillId="0" borderId="14" xfId="0" applyFont="1" applyBorder="1" applyAlignment="1">
      <alignment horizontal="center" vertical="top"/>
    </xf>
    <xf numFmtId="0" fontId="32" fillId="2" borderId="5" xfId="0" applyFont="1" applyFill="1" applyBorder="1" applyAlignment="1">
      <alignment horizontal="left" vertical="top"/>
    </xf>
    <xf numFmtId="0" fontId="50" fillId="2" borderId="20" xfId="0" applyFont="1" applyFill="1" applyBorder="1" applyAlignment="1">
      <alignment horizontal="left" vertical="top"/>
    </xf>
    <xf numFmtId="0" fontId="10" fillId="2" borderId="0" xfId="0" applyFont="1" applyFill="1" applyBorder="1"/>
    <xf numFmtId="0" fontId="51" fillId="0" borderId="0" xfId="0" applyFont="1" applyAlignment="1">
      <alignment vertical="center"/>
    </xf>
    <xf numFmtId="0" fontId="51" fillId="0" borderId="0" xfId="0" applyFont="1"/>
    <xf numFmtId="0" fontId="51" fillId="0" borderId="0" xfId="0" applyFont="1" applyAlignment="1">
      <alignment horizontal="left" vertical="center"/>
    </xf>
    <xf numFmtId="0" fontId="52" fillId="0" borderId="0" xfId="0" applyFont="1"/>
    <xf numFmtId="0" fontId="51" fillId="0" borderId="0" xfId="0" applyFont="1" applyAlignment="1">
      <alignment horizontal="left"/>
    </xf>
    <xf numFmtId="0" fontId="51" fillId="2" borderId="0" xfId="0" applyFont="1" applyFill="1" applyAlignment="1">
      <alignment horizontal="left" vertical="center"/>
    </xf>
    <xf numFmtId="0" fontId="51" fillId="2" borderId="0" xfId="0" applyFont="1" applyFill="1" applyAlignment="1">
      <alignment vertical="center"/>
    </xf>
    <xf numFmtId="0" fontId="51" fillId="2" borderId="0" xfId="0" applyFont="1" applyFill="1" applyAlignment="1">
      <alignment horizontal="left"/>
    </xf>
    <xf numFmtId="0" fontId="51" fillId="2" borderId="0" xfId="0" applyFont="1" applyFill="1"/>
    <xf numFmtId="0" fontId="52" fillId="2" borderId="0" xfId="0" applyFont="1" applyFill="1"/>
    <xf numFmtId="0" fontId="52" fillId="2" borderId="0" xfId="0" applyFont="1" applyFill="1" applyAlignment="1">
      <alignment horizontal="center"/>
    </xf>
    <xf numFmtId="0" fontId="53" fillId="0" borderId="0" xfId="0" applyFont="1"/>
    <xf numFmtId="0" fontId="52" fillId="2" borderId="0" xfId="0" applyFont="1" applyFill="1" applyAlignment="1">
      <alignment vertical="center"/>
    </xf>
    <xf numFmtId="0" fontId="50" fillId="0" borderId="20" xfId="0" applyFont="1" applyBorder="1" applyAlignment="1">
      <alignment horizontal="center" vertical="top"/>
    </xf>
    <xf numFmtId="0" fontId="37" fillId="2" borderId="20" xfId="35" applyFont="1" applyFill="1" applyBorder="1" applyAlignment="1">
      <alignment horizontal="center" vertical="center"/>
    </xf>
    <xf numFmtId="0" fontId="0" fillId="2" borderId="20" xfId="0" applyFill="1" applyBorder="1"/>
    <xf numFmtId="0" fontId="22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0" fontId="49" fillId="0" borderId="2" xfId="0" applyFont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49" fillId="0" borderId="14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8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3" fillId="2" borderId="20" xfId="0" applyFont="1" applyFill="1" applyBorder="1" applyAlignment="1" applyProtection="1">
      <alignment horizontal="center" vertical="center"/>
      <protection locked="0"/>
    </xf>
  </cellXfs>
  <cellStyles count="3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Normal" xfId="0" builtinId="0"/>
    <cellStyle name="Normal 2" xfId="1" xr:uid="{00000000-0005-0000-0000-000021000000}"/>
    <cellStyle name="Normal 2 2" xfId="34" xr:uid="{00000000-0005-0000-0000-000022000000}"/>
    <cellStyle name="Normal 22" xfId="35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200526</xdr:colOff>
      <xdr:row>0</xdr:row>
      <xdr:rowOff>98258</xdr:rowOff>
    </xdr:from>
    <xdr:to>
      <xdr:col>25</xdr:col>
      <xdr:colOff>17045</xdr:colOff>
      <xdr:row>8</xdr:row>
      <xdr:rowOff>31081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0CEF2-79A3-4C45-9040-3BE767F68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26" y="98258"/>
          <a:ext cx="10113545" cy="1537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16</xdr:row>
      <xdr:rowOff>9525</xdr:rowOff>
    </xdr:from>
    <xdr:to>
      <xdr:col>22</xdr:col>
      <xdr:colOff>1</xdr:colOff>
      <xdr:row>18</xdr:row>
      <xdr:rowOff>80010</xdr:rowOff>
    </xdr:to>
    <xdr:pic>
      <xdr:nvPicPr>
        <xdr:cNvPr id="3" name="Picture 2" descr="SMK 8 ASLI.wmf">
          <a:extLst>
            <a:ext uri="{FF2B5EF4-FFF2-40B4-BE49-F238E27FC236}">
              <a16:creationId xmlns:a16="http://schemas.microsoft.com/office/drawing/2014/main" id="{7A232DE1-6D70-49F8-9770-B7F91E644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317944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14</xdr:row>
      <xdr:rowOff>9525</xdr:rowOff>
    </xdr:from>
    <xdr:ext cx="1" cy="381000"/>
    <xdr:pic>
      <xdr:nvPicPr>
        <xdr:cNvPr id="4" name="Picture 3" descr="SMK 8 ASLI.wmf">
          <a:extLst>
            <a:ext uri="{FF2B5EF4-FFF2-40B4-BE49-F238E27FC236}">
              <a16:creationId xmlns:a16="http://schemas.microsoft.com/office/drawing/2014/main" id="{7F7E27CB-B761-4418-9311-B7A6E6CE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278320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16</xdr:row>
      <xdr:rowOff>0</xdr:rowOff>
    </xdr:from>
    <xdr:ext cx="4310" cy="390525"/>
    <xdr:pic>
      <xdr:nvPicPr>
        <xdr:cNvPr id="5" name="Picture 4" descr="SMK 8 ASLI.wmf">
          <a:extLst>
            <a:ext uri="{FF2B5EF4-FFF2-40B4-BE49-F238E27FC236}">
              <a16:creationId xmlns:a16="http://schemas.microsoft.com/office/drawing/2014/main" id="{1141CCB2-84C5-4F06-A33E-B607644FB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1699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</xdr:row>
      <xdr:rowOff>0</xdr:rowOff>
    </xdr:from>
    <xdr:ext cx="4310" cy="390525"/>
    <xdr:pic>
      <xdr:nvPicPr>
        <xdr:cNvPr id="6" name="Picture 5" descr="SMK 8 ASLI.wmf">
          <a:extLst>
            <a:ext uri="{FF2B5EF4-FFF2-40B4-BE49-F238E27FC236}">
              <a16:creationId xmlns:a16="http://schemas.microsoft.com/office/drawing/2014/main" id="{0DED65CE-0ABA-41AC-ABF1-A66E8E7E9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9812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</xdr:row>
      <xdr:rowOff>0</xdr:rowOff>
    </xdr:from>
    <xdr:ext cx="4310" cy="390525"/>
    <xdr:pic>
      <xdr:nvPicPr>
        <xdr:cNvPr id="7" name="Picture 6" descr="SMK 8 ASLI.wmf">
          <a:extLst>
            <a:ext uri="{FF2B5EF4-FFF2-40B4-BE49-F238E27FC236}">
              <a16:creationId xmlns:a16="http://schemas.microsoft.com/office/drawing/2014/main" id="{AA18F034-0421-4572-9136-D96068774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9812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10</xdr:row>
      <xdr:rowOff>0</xdr:rowOff>
    </xdr:from>
    <xdr:ext cx="4310" cy="390525"/>
    <xdr:pic>
      <xdr:nvPicPr>
        <xdr:cNvPr id="8" name="Picture 7" descr="SMK 8 ASLI.wmf">
          <a:extLst>
            <a:ext uri="{FF2B5EF4-FFF2-40B4-BE49-F238E27FC236}">
              <a16:creationId xmlns:a16="http://schemas.microsoft.com/office/drawing/2014/main" id="{3176917B-55B1-445A-8A0E-0A66DAA2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9812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85</xdr:row>
      <xdr:rowOff>38100</xdr:rowOff>
    </xdr:from>
    <xdr:to>
      <xdr:col>24</xdr:col>
      <xdr:colOff>57150</xdr:colOff>
      <xdr:row>92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CAAD06-F159-477B-A398-E4F1A00D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9606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101</xdr:row>
      <xdr:rowOff>9525</xdr:rowOff>
    </xdr:from>
    <xdr:ext cx="1" cy="436245"/>
    <xdr:pic>
      <xdr:nvPicPr>
        <xdr:cNvPr id="10" name="Picture 9" descr="SMK 8 ASLI.wmf">
          <a:extLst>
            <a:ext uri="{FF2B5EF4-FFF2-40B4-BE49-F238E27FC236}">
              <a16:creationId xmlns:a16="http://schemas.microsoft.com/office/drawing/2014/main" id="{357C4FAD-8C63-41FD-BC8A-287F4070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733740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99</xdr:row>
      <xdr:rowOff>9525</xdr:rowOff>
    </xdr:from>
    <xdr:ext cx="1" cy="381000"/>
    <xdr:pic>
      <xdr:nvPicPr>
        <xdr:cNvPr id="11" name="Picture 10" descr="SMK 8 ASLI.wmf">
          <a:extLst>
            <a:ext uri="{FF2B5EF4-FFF2-40B4-BE49-F238E27FC236}">
              <a16:creationId xmlns:a16="http://schemas.microsoft.com/office/drawing/2014/main" id="{673A09F4-7941-497C-8775-488CF535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694116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101</xdr:row>
      <xdr:rowOff>0</xdr:rowOff>
    </xdr:from>
    <xdr:ext cx="4310" cy="390525"/>
    <xdr:pic>
      <xdr:nvPicPr>
        <xdr:cNvPr id="12" name="Picture 11" descr="SMK 8 ASLI.wmf">
          <a:extLst>
            <a:ext uri="{FF2B5EF4-FFF2-40B4-BE49-F238E27FC236}">
              <a16:creationId xmlns:a16="http://schemas.microsoft.com/office/drawing/2014/main" id="{6A9EAAC0-6BB3-4C87-B553-B9415A23D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73278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95</xdr:row>
      <xdr:rowOff>0</xdr:rowOff>
    </xdr:from>
    <xdr:ext cx="4310" cy="390525"/>
    <xdr:pic>
      <xdr:nvPicPr>
        <xdr:cNvPr id="13" name="Picture 12" descr="SMK 8 ASLI.wmf">
          <a:extLst>
            <a:ext uri="{FF2B5EF4-FFF2-40B4-BE49-F238E27FC236}">
              <a16:creationId xmlns:a16="http://schemas.microsoft.com/office/drawing/2014/main" id="{8BF9D2FF-EF75-4990-86DB-6194BD49D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61391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95</xdr:row>
      <xdr:rowOff>0</xdr:rowOff>
    </xdr:from>
    <xdr:ext cx="4310" cy="390525"/>
    <xdr:pic>
      <xdr:nvPicPr>
        <xdr:cNvPr id="14" name="Picture 13" descr="SMK 8 ASLI.wmf">
          <a:extLst>
            <a:ext uri="{FF2B5EF4-FFF2-40B4-BE49-F238E27FC236}">
              <a16:creationId xmlns:a16="http://schemas.microsoft.com/office/drawing/2014/main" id="{2085CEEF-2522-4443-899D-36A68DCD1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61391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95</xdr:row>
      <xdr:rowOff>0</xdr:rowOff>
    </xdr:from>
    <xdr:ext cx="4310" cy="390525"/>
    <xdr:pic>
      <xdr:nvPicPr>
        <xdr:cNvPr id="15" name="Picture 14" descr="SMK 8 ASLI.wmf">
          <a:extLst>
            <a:ext uri="{FF2B5EF4-FFF2-40B4-BE49-F238E27FC236}">
              <a16:creationId xmlns:a16="http://schemas.microsoft.com/office/drawing/2014/main" id="{C8C842F7-0179-47EE-AA07-AC3D40E2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61391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169</xdr:row>
      <xdr:rowOff>38100</xdr:rowOff>
    </xdr:from>
    <xdr:to>
      <xdr:col>24</xdr:col>
      <xdr:colOff>57150</xdr:colOff>
      <xdr:row>176</xdr:row>
      <xdr:rowOff>171450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D7CF0FF-81B0-40EA-9711-63063CF14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5402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185</xdr:row>
      <xdr:rowOff>9525</xdr:rowOff>
    </xdr:from>
    <xdr:ext cx="1" cy="436245"/>
    <xdr:pic>
      <xdr:nvPicPr>
        <xdr:cNvPr id="17" name="Picture 16" descr="SMK 8 ASLI.wmf">
          <a:extLst>
            <a:ext uri="{FF2B5EF4-FFF2-40B4-BE49-F238E27FC236}">
              <a16:creationId xmlns:a16="http://schemas.microsoft.com/office/drawing/2014/main" id="{767AA4E9-2B69-41BF-9CCF-D79D51156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3149536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183</xdr:row>
      <xdr:rowOff>9525</xdr:rowOff>
    </xdr:from>
    <xdr:ext cx="1" cy="381000"/>
    <xdr:pic>
      <xdr:nvPicPr>
        <xdr:cNvPr id="18" name="Picture 17" descr="SMK 8 ASLI.wmf">
          <a:extLst>
            <a:ext uri="{FF2B5EF4-FFF2-40B4-BE49-F238E27FC236}">
              <a16:creationId xmlns:a16="http://schemas.microsoft.com/office/drawing/2014/main" id="{037C94F0-3F0D-4738-B6CF-D1D72B998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3109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185</xdr:row>
      <xdr:rowOff>0</xdr:rowOff>
    </xdr:from>
    <xdr:ext cx="4310" cy="390525"/>
    <xdr:pic>
      <xdr:nvPicPr>
        <xdr:cNvPr id="19" name="Picture 18" descr="SMK 8 ASLI.wmf">
          <a:extLst>
            <a:ext uri="{FF2B5EF4-FFF2-40B4-BE49-F238E27FC236}">
              <a16:creationId xmlns:a16="http://schemas.microsoft.com/office/drawing/2014/main" id="{31359DE2-1DF8-4CF1-817A-4A1952E4B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14858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179</xdr:row>
      <xdr:rowOff>0</xdr:rowOff>
    </xdr:from>
    <xdr:ext cx="4310" cy="390525"/>
    <xdr:pic>
      <xdr:nvPicPr>
        <xdr:cNvPr id="20" name="Picture 19" descr="SMK 8 ASLI.wmf">
          <a:extLst>
            <a:ext uri="{FF2B5EF4-FFF2-40B4-BE49-F238E27FC236}">
              <a16:creationId xmlns:a16="http://schemas.microsoft.com/office/drawing/2014/main" id="{609C3F02-0489-4098-AF61-83ADE1D91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02971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179</xdr:row>
      <xdr:rowOff>0</xdr:rowOff>
    </xdr:from>
    <xdr:ext cx="4310" cy="390525"/>
    <xdr:pic>
      <xdr:nvPicPr>
        <xdr:cNvPr id="21" name="Picture 20" descr="SMK 8 ASLI.wmf">
          <a:extLst>
            <a:ext uri="{FF2B5EF4-FFF2-40B4-BE49-F238E27FC236}">
              <a16:creationId xmlns:a16="http://schemas.microsoft.com/office/drawing/2014/main" id="{E2037B43-6D32-4FC1-B57D-D4FEBB88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02971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179</xdr:row>
      <xdr:rowOff>0</xdr:rowOff>
    </xdr:from>
    <xdr:ext cx="4310" cy="390525"/>
    <xdr:pic>
      <xdr:nvPicPr>
        <xdr:cNvPr id="22" name="Picture 21" descr="SMK 8 ASLI.wmf">
          <a:extLst>
            <a:ext uri="{FF2B5EF4-FFF2-40B4-BE49-F238E27FC236}">
              <a16:creationId xmlns:a16="http://schemas.microsoft.com/office/drawing/2014/main" id="{6DC19EAA-7370-4478-B746-F3949E52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302971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255</xdr:row>
      <xdr:rowOff>38100</xdr:rowOff>
    </xdr:from>
    <xdr:to>
      <xdr:col>24</xdr:col>
      <xdr:colOff>57150</xdr:colOff>
      <xdr:row>262</xdr:row>
      <xdr:rowOff>171450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9A3870-E789-4B94-9A42-048AE9EF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198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271</xdr:row>
      <xdr:rowOff>9525</xdr:rowOff>
    </xdr:from>
    <xdr:ext cx="1" cy="436245"/>
    <xdr:pic>
      <xdr:nvPicPr>
        <xdr:cNvPr id="24" name="Picture 23" descr="SMK 8 ASLI.wmf">
          <a:extLst>
            <a:ext uri="{FF2B5EF4-FFF2-40B4-BE49-F238E27FC236}">
              <a16:creationId xmlns:a16="http://schemas.microsoft.com/office/drawing/2014/main" id="{6175F52A-7903-4A69-9711-AC2142AB3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4565332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269</xdr:row>
      <xdr:rowOff>9525</xdr:rowOff>
    </xdr:from>
    <xdr:ext cx="1" cy="381000"/>
    <xdr:pic>
      <xdr:nvPicPr>
        <xdr:cNvPr id="25" name="Picture 24" descr="SMK 8 ASLI.wmf">
          <a:extLst>
            <a:ext uri="{FF2B5EF4-FFF2-40B4-BE49-F238E27FC236}">
              <a16:creationId xmlns:a16="http://schemas.microsoft.com/office/drawing/2014/main" id="{8EDCDBC0-2A89-442E-BD46-9C8E771D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4525708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271</xdr:row>
      <xdr:rowOff>0</xdr:rowOff>
    </xdr:from>
    <xdr:ext cx="4310" cy="390525"/>
    <xdr:pic>
      <xdr:nvPicPr>
        <xdr:cNvPr id="26" name="Picture 25" descr="SMK 8 ASLI.wmf">
          <a:extLst>
            <a:ext uri="{FF2B5EF4-FFF2-40B4-BE49-F238E27FC236}">
              <a16:creationId xmlns:a16="http://schemas.microsoft.com/office/drawing/2014/main" id="{FEEEC95D-8120-4094-9F76-0E8383AA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456438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265</xdr:row>
      <xdr:rowOff>0</xdr:rowOff>
    </xdr:from>
    <xdr:ext cx="4310" cy="390525"/>
    <xdr:pic>
      <xdr:nvPicPr>
        <xdr:cNvPr id="27" name="Picture 26" descr="SMK 8 ASLI.wmf">
          <a:extLst>
            <a:ext uri="{FF2B5EF4-FFF2-40B4-BE49-F238E27FC236}">
              <a16:creationId xmlns:a16="http://schemas.microsoft.com/office/drawing/2014/main" id="{965C50AE-D10F-4CBC-B64E-4735CB657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444550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265</xdr:row>
      <xdr:rowOff>0</xdr:rowOff>
    </xdr:from>
    <xdr:ext cx="4310" cy="390525"/>
    <xdr:pic>
      <xdr:nvPicPr>
        <xdr:cNvPr id="28" name="Picture 27" descr="SMK 8 ASLI.wmf">
          <a:extLst>
            <a:ext uri="{FF2B5EF4-FFF2-40B4-BE49-F238E27FC236}">
              <a16:creationId xmlns:a16="http://schemas.microsoft.com/office/drawing/2014/main" id="{F41C87A6-BF39-46E4-AB19-A227F75F7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444550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265</xdr:row>
      <xdr:rowOff>0</xdr:rowOff>
    </xdr:from>
    <xdr:ext cx="4310" cy="390525"/>
    <xdr:pic>
      <xdr:nvPicPr>
        <xdr:cNvPr id="29" name="Picture 28" descr="SMK 8 ASLI.wmf">
          <a:extLst>
            <a:ext uri="{FF2B5EF4-FFF2-40B4-BE49-F238E27FC236}">
              <a16:creationId xmlns:a16="http://schemas.microsoft.com/office/drawing/2014/main" id="{DB6DBF46-880C-4DFC-80E9-FA97DEC7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444550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341</xdr:row>
      <xdr:rowOff>38100</xdr:rowOff>
    </xdr:from>
    <xdr:to>
      <xdr:col>24</xdr:col>
      <xdr:colOff>57150</xdr:colOff>
      <xdr:row>348</xdr:row>
      <xdr:rowOff>171450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D7FEC24-4D42-4219-9365-9A79F354F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6994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357</xdr:row>
      <xdr:rowOff>9525</xdr:rowOff>
    </xdr:from>
    <xdr:ext cx="1" cy="436245"/>
    <xdr:pic>
      <xdr:nvPicPr>
        <xdr:cNvPr id="31" name="Picture 30" descr="SMK 8 ASLI.wmf">
          <a:extLst>
            <a:ext uri="{FF2B5EF4-FFF2-40B4-BE49-F238E27FC236}">
              <a16:creationId xmlns:a16="http://schemas.microsoft.com/office/drawing/2014/main" id="{B308C464-6A8B-46E6-A0B0-2E23E6E2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5981128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355</xdr:row>
      <xdr:rowOff>9525</xdr:rowOff>
    </xdr:from>
    <xdr:ext cx="1" cy="381000"/>
    <xdr:pic>
      <xdr:nvPicPr>
        <xdr:cNvPr id="32" name="Picture 31" descr="SMK 8 ASLI.wmf">
          <a:extLst>
            <a:ext uri="{FF2B5EF4-FFF2-40B4-BE49-F238E27FC236}">
              <a16:creationId xmlns:a16="http://schemas.microsoft.com/office/drawing/2014/main" id="{DC96CE57-A09A-4893-AC7C-9D472E0B9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5941504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357</xdr:row>
      <xdr:rowOff>0</xdr:rowOff>
    </xdr:from>
    <xdr:ext cx="4310" cy="390525"/>
    <xdr:pic>
      <xdr:nvPicPr>
        <xdr:cNvPr id="33" name="Picture 32" descr="SMK 8 ASLI.wmf">
          <a:extLst>
            <a:ext uri="{FF2B5EF4-FFF2-40B4-BE49-F238E27FC236}">
              <a16:creationId xmlns:a16="http://schemas.microsoft.com/office/drawing/2014/main" id="{40F13880-4043-4395-B8AF-602EC4A8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598017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351</xdr:row>
      <xdr:rowOff>0</xdr:rowOff>
    </xdr:from>
    <xdr:ext cx="4310" cy="390525"/>
    <xdr:pic>
      <xdr:nvPicPr>
        <xdr:cNvPr id="34" name="Picture 33" descr="SMK 8 ASLI.wmf">
          <a:extLst>
            <a:ext uri="{FF2B5EF4-FFF2-40B4-BE49-F238E27FC236}">
              <a16:creationId xmlns:a16="http://schemas.microsoft.com/office/drawing/2014/main" id="{94950FDA-196A-48B9-900B-A3B67554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58613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351</xdr:row>
      <xdr:rowOff>0</xdr:rowOff>
    </xdr:from>
    <xdr:ext cx="4310" cy="390525"/>
    <xdr:pic>
      <xdr:nvPicPr>
        <xdr:cNvPr id="35" name="Picture 34" descr="SMK 8 ASLI.wmf">
          <a:extLst>
            <a:ext uri="{FF2B5EF4-FFF2-40B4-BE49-F238E27FC236}">
              <a16:creationId xmlns:a16="http://schemas.microsoft.com/office/drawing/2014/main" id="{D951D7E0-D977-403C-8D83-516F3EAAB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58613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351</xdr:row>
      <xdr:rowOff>0</xdr:rowOff>
    </xdr:from>
    <xdr:ext cx="4310" cy="390525"/>
    <xdr:pic>
      <xdr:nvPicPr>
        <xdr:cNvPr id="36" name="Picture 35" descr="SMK 8 ASLI.wmf">
          <a:extLst>
            <a:ext uri="{FF2B5EF4-FFF2-40B4-BE49-F238E27FC236}">
              <a16:creationId xmlns:a16="http://schemas.microsoft.com/office/drawing/2014/main" id="{0A78A6FC-90AA-49CD-85FF-CEBB431D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58613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424</xdr:row>
      <xdr:rowOff>38100</xdr:rowOff>
    </xdr:from>
    <xdr:to>
      <xdr:col>24</xdr:col>
      <xdr:colOff>57150</xdr:colOff>
      <xdr:row>431</xdr:row>
      <xdr:rowOff>171450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FD40781-3243-44D5-9459-1A641086D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2790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440</xdr:row>
      <xdr:rowOff>9525</xdr:rowOff>
    </xdr:from>
    <xdr:ext cx="1" cy="436245"/>
    <xdr:pic>
      <xdr:nvPicPr>
        <xdr:cNvPr id="38" name="Picture 37" descr="SMK 8 ASLI.wmf">
          <a:extLst>
            <a:ext uri="{FF2B5EF4-FFF2-40B4-BE49-F238E27FC236}">
              <a16:creationId xmlns:a16="http://schemas.microsoft.com/office/drawing/2014/main" id="{94EA480A-5004-4DEA-A7A7-C5F3F5BB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7396924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438</xdr:row>
      <xdr:rowOff>9525</xdr:rowOff>
    </xdr:from>
    <xdr:ext cx="1" cy="381000"/>
    <xdr:pic>
      <xdr:nvPicPr>
        <xdr:cNvPr id="39" name="Picture 38" descr="SMK 8 ASLI.wmf">
          <a:extLst>
            <a:ext uri="{FF2B5EF4-FFF2-40B4-BE49-F238E27FC236}">
              <a16:creationId xmlns:a16="http://schemas.microsoft.com/office/drawing/2014/main" id="{8B3EB115-ED8D-4EF6-94A9-8D55B62CA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7357300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440</xdr:row>
      <xdr:rowOff>0</xdr:rowOff>
    </xdr:from>
    <xdr:ext cx="4310" cy="390525"/>
    <xdr:pic>
      <xdr:nvPicPr>
        <xdr:cNvPr id="40" name="Picture 39" descr="SMK 8 ASLI.wmf">
          <a:extLst>
            <a:ext uri="{FF2B5EF4-FFF2-40B4-BE49-F238E27FC236}">
              <a16:creationId xmlns:a16="http://schemas.microsoft.com/office/drawing/2014/main" id="{E65A9E27-88E5-42ED-A91A-CFD2613EE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73959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434</xdr:row>
      <xdr:rowOff>0</xdr:rowOff>
    </xdr:from>
    <xdr:ext cx="4310" cy="390525"/>
    <xdr:pic>
      <xdr:nvPicPr>
        <xdr:cNvPr id="41" name="Picture 40" descr="SMK 8 ASLI.wmf">
          <a:extLst>
            <a:ext uri="{FF2B5EF4-FFF2-40B4-BE49-F238E27FC236}">
              <a16:creationId xmlns:a16="http://schemas.microsoft.com/office/drawing/2014/main" id="{11730200-175E-485C-96BF-B7BB6A620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727710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434</xdr:row>
      <xdr:rowOff>0</xdr:rowOff>
    </xdr:from>
    <xdr:ext cx="4310" cy="390525"/>
    <xdr:pic>
      <xdr:nvPicPr>
        <xdr:cNvPr id="42" name="Picture 41" descr="SMK 8 ASLI.wmf">
          <a:extLst>
            <a:ext uri="{FF2B5EF4-FFF2-40B4-BE49-F238E27FC236}">
              <a16:creationId xmlns:a16="http://schemas.microsoft.com/office/drawing/2014/main" id="{BE7C50F8-F636-47BB-9FB4-083B58A1B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727710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434</xdr:row>
      <xdr:rowOff>0</xdr:rowOff>
    </xdr:from>
    <xdr:ext cx="4310" cy="390525"/>
    <xdr:pic>
      <xdr:nvPicPr>
        <xdr:cNvPr id="43" name="Picture 42" descr="SMK 8 ASLI.wmf">
          <a:extLst>
            <a:ext uri="{FF2B5EF4-FFF2-40B4-BE49-F238E27FC236}">
              <a16:creationId xmlns:a16="http://schemas.microsoft.com/office/drawing/2014/main" id="{DDAF9EB9-E7AE-4915-92C7-9E10232B9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727710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509</xdr:row>
      <xdr:rowOff>118312</xdr:rowOff>
    </xdr:from>
    <xdr:to>
      <xdr:col>24</xdr:col>
      <xdr:colOff>57150</xdr:colOff>
      <xdr:row>517</xdr:row>
      <xdr:rowOff>51135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8E8B508-CE0C-48AE-AB24-17761F2E0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14180"/>
          <a:ext cx="10113545" cy="1537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527</xdr:row>
      <xdr:rowOff>9525</xdr:rowOff>
    </xdr:from>
    <xdr:ext cx="1" cy="436245"/>
    <xdr:pic>
      <xdr:nvPicPr>
        <xdr:cNvPr id="45" name="Picture 44" descr="SMK 8 ASLI.wmf">
          <a:extLst>
            <a:ext uri="{FF2B5EF4-FFF2-40B4-BE49-F238E27FC236}">
              <a16:creationId xmlns:a16="http://schemas.microsoft.com/office/drawing/2014/main" id="{04EAA497-8482-412B-9B3B-DE074DB4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8812720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525</xdr:row>
      <xdr:rowOff>9525</xdr:rowOff>
    </xdr:from>
    <xdr:ext cx="1" cy="381000"/>
    <xdr:pic>
      <xdr:nvPicPr>
        <xdr:cNvPr id="46" name="Picture 45" descr="SMK 8 ASLI.wmf">
          <a:extLst>
            <a:ext uri="{FF2B5EF4-FFF2-40B4-BE49-F238E27FC236}">
              <a16:creationId xmlns:a16="http://schemas.microsoft.com/office/drawing/2014/main" id="{B1679EB7-16C8-49CE-9929-E3413621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8773096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527</xdr:row>
      <xdr:rowOff>0</xdr:rowOff>
    </xdr:from>
    <xdr:ext cx="4310" cy="390525"/>
    <xdr:pic>
      <xdr:nvPicPr>
        <xdr:cNvPr id="47" name="Picture 46" descr="SMK 8 ASLI.wmf">
          <a:extLst>
            <a:ext uri="{FF2B5EF4-FFF2-40B4-BE49-F238E27FC236}">
              <a16:creationId xmlns:a16="http://schemas.microsoft.com/office/drawing/2014/main" id="{8EC0C051-4D91-45A9-8421-BA3BC79DE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881176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521</xdr:row>
      <xdr:rowOff>0</xdr:rowOff>
    </xdr:from>
    <xdr:ext cx="4310" cy="390525"/>
    <xdr:pic>
      <xdr:nvPicPr>
        <xdr:cNvPr id="48" name="Picture 47" descr="SMK 8 ASLI.wmf">
          <a:extLst>
            <a:ext uri="{FF2B5EF4-FFF2-40B4-BE49-F238E27FC236}">
              <a16:creationId xmlns:a16="http://schemas.microsoft.com/office/drawing/2014/main" id="{30FB4D40-4646-4F27-8719-DF71E048F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869289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521</xdr:row>
      <xdr:rowOff>0</xdr:rowOff>
    </xdr:from>
    <xdr:ext cx="4310" cy="390525"/>
    <xdr:pic>
      <xdr:nvPicPr>
        <xdr:cNvPr id="49" name="Picture 48" descr="SMK 8 ASLI.wmf">
          <a:extLst>
            <a:ext uri="{FF2B5EF4-FFF2-40B4-BE49-F238E27FC236}">
              <a16:creationId xmlns:a16="http://schemas.microsoft.com/office/drawing/2014/main" id="{EA0BDF70-ECC4-4566-8AD4-9B91A6BA5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869289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521</xdr:row>
      <xdr:rowOff>0</xdr:rowOff>
    </xdr:from>
    <xdr:ext cx="4310" cy="390525"/>
    <xdr:pic>
      <xdr:nvPicPr>
        <xdr:cNvPr id="50" name="Picture 49" descr="SMK 8 ASLI.wmf">
          <a:extLst>
            <a:ext uri="{FF2B5EF4-FFF2-40B4-BE49-F238E27FC236}">
              <a16:creationId xmlns:a16="http://schemas.microsoft.com/office/drawing/2014/main" id="{A1CF885C-A743-48C1-9B19-4B2A6426C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869289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594</xdr:row>
      <xdr:rowOff>38100</xdr:rowOff>
    </xdr:from>
    <xdr:to>
      <xdr:col>24</xdr:col>
      <xdr:colOff>57150</xdr:colOff>
      <xdr:row>601</xdr:row>
      <xdr:rowOff>171450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E595CF8-89DC-4102-A6CC-5F56CAC55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4382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610</xdr:row>
      <xdr:rowOff>9525</xdr:rowOff>
    </xdr:from>
    <xdr:ext cx="1" cy="436245"/>
    <xdr:pic>
      <xdr:nvPicPr>
        <xdr:cNvPr id="52" name="Picture 51" descr="SMK 8 ASLI.wmf">
          <a:extLst>
            <a:ext uri="{FF2B5EF4-FFF2-40B4-BE49-F238E27FC236}">
              <a16:creationId xmlns:a16="http://schemas.microsoft.com/office/drawing/2014/main" id="{4694D88C-5855-472C-BA10-EF2A0DDB8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0228516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608</xdr:row>
      <xdr:rowOff>9525</xdr:rowOff>
    </xdr:from>
    <xdr:ext cx="1" cy="381000"/>
    <xdr:pic>
      <xdr:nvPicPr>
        <xdr:cNvPr id="53" name="Picture 52" descr="SMK 8 ASLI.wmf">
          <a:extLst>
            <a:ext uri="{FF2B5EF4-FFF2-40B4-BE49-F238E27FC236}">
              <a16:creationId xmlns:a16="http://schemas.microsoft.com/office/drawing/2014/main" id="{3216C2E7-F395-4DBF-A0F4-910BE2423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018889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610</xdr:row>
      <xdr:rowOff>0</xdr:rowOff>
    </xdr:from>
    <xdr:ext cx="4310" cy="390525"/>
    <xdr:pic>
      <xdr:nvPicPr>
        <xdr:cNvPr id="54" name="Picture 53" descr="SMK 8 ASLI.wmf">
          <a:extLst>
            <a:ext uri="{FF2B5EF4-FFF2-40B4-BE49-F238E27FC236}">
              <a16:creationId xmlns:a16="http://schemas.microsoft.com/office/drawing/2014/main" id="{44BEC4ED-9DC6-45FA-931B-860C6F585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022756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604</xdr:row>
      <xdr:rowOff>0</xdr:rowOff>
    </xdr:from>
    <xdr:ext cx="4310" cy="390525"/>
    <xdr:pic>
      <xdr:nvPicPr>
        <xdr:cNvPr id="55" name="Picture 54" descr="SMK 8 ASLI.wmf">
          <a:extLst>
            <a:ext uri="{FF2B5EF4-FFF2-40B4-BE49-F238E27FC236}">
              <a16:creationId xmlns:a16="http://schemas.microsoft.com/office/drawing/2014/main" id="{5CAB7049-A4AD-4759-A8D1-3A33C8050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010869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604</xdr:row>
      <xdr:rowOff>0</xdr:rowOff>
    </xdr:from>
    <xdr:ext cx="4310" cy="390525"/>
    <xdr:pic>
      <xdr:nvPicPr>
        <xdr:cNvPr id="56" name="Picture 55" descr="SMK 8 ASLI.wmf">
          <a:extLst>
            <a:ext uri="{FF2B5EF4-FFF2-40B4-BE49-F238E27FC236}">
              <a16:creationId xmlns:a16="http://schemas.microsoft.com/office/drawing/2014/main" id="{2CFBBFF5-2043-4168-AF03-05A731A3F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010869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604</xdr:row>
      <xdr:rowOff>0</xdr:rowOff>
    </xdr:from>
    <xdr:ext cx="4310" cy="390525"/>
    <xdr:pic>
      <xdr:nvPicPr>
        <xdr:cNvPr id="57" name="Picture 56" descr="SMK 8 ASLI.wmf">
          <a:extLst>
            <a:ext uri="{FF2B5EF4-FFF2-40B4-BE49-F238E27FC236}">
              <a16:creationId xmlns:a16="http://schemas.microsoft.com/office/drawing/2014/main" id="{AB02E5EC-3494-4D6D-A223-0B18BBCA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010869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678</xdr:row>
      <xdr:rowOff>38100</xdr:rowOff>
    </xdr:from>
    <xdr:to>
      <xdr:col>24</xdr:col>
      <xdr:colOff>57150</xdr:colOff>
      <xdr:row>685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8745084-5761-4E8B-97A2-2F32E999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0178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694</xdr:row>
      <xdr:rowOff>9525</xdr:rowOff>
    </xdr:from>
    <xdr:ext cx="1" cy="436245"/>
    <xdr:pic>
      <xdr:nvPicPr>
        <xdr:cNvPr id="59" name="Picture 58" descr="SMK 8 ASLI.wmf">
          <a:extLst>
            <a:ext uri="{FF2B5EF4-FFF2-40B4-BE49-F238E27FC236}">
              <a16:creationId xmlns:a16="http://schemas.microsoft.com/office/drawing/2014/main" id="{E5A95D91-4935-4EBF-8A17-69CE474E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1644312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692</xdr:row>
      <xdr:rowOff>9525</xdr:rowOff>
    </xdr:from>
    <xdr:ext cx="1" cy="381000"/>
    <xdr:pic>
      <xdr:nvPicPr>
        <xdr:cNvPr id="60" name="Picture 59" descr="SMK 8 ASLI.wmf">
          <a:extLst>
            <a:ext uri="{FF2B5EF4-FFF2-40B4-BE49-F238E27FC236}">
              <a16:creationId xmlns:a16="http://schemas.microsoft.com/office/drawing/2014/main" id="{01D1915A-A8FA-4370-BC57-86A3DCEA7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1604688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694</xdr:row>
      <xdr:rowOff>0</xdr:rowOff>
    </xdr:from>
    <xdr:ext cx="4310" cy="390525"/>
    <xdr:pic>
      <xdr:nvPicPr>
        <xdr:cNvPr id="61" name="Picture 60" descr="SMK 8 ASLI.wmf">
          <a:extLst>
            <a:ext uri="{FF2B5EF4-FFF2-40B4-BE49-F238E27FC236}">
              <a16:creationId xmlns:a16="http://schemas.microsoft.com/office/drawing/2014/main" id="{087156BC-1E7B-4873-A411-AEE0BD5A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16433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688</xdr:row>
      <xdr:rowOff>0</xdr:rowOff>
    </xdr:from>
    <xdr:ext cx="4310" cy="390525"/>
    <xdr:pic>
      <xdr:nvPicPr>
        <xdr:cNvPr id="62" name="Picture 61" descr="SMK 8 ASLI.wmf">
          <a:extLst>
            <a:ext uri="{FF2B5EF4-FFF2-40B4-BE49-F238E27FC236}">
              <a16:creationId xmlns:a16="http://schemas.microsoft.com/office/drawing/2014/main" id="{BDC36CF3-945F-491B-AD34-38A66C39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152448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688</xdr:row>
      <xdr:rowOff>0</xdr:rowOff>
    </xdr:from>
    <xdr:ext cx="4310" cy="390525"/>
    <xdr:pic>
      <xdr:nvPicPr>
        <xdr:cNvPr id="63" name="Picture 62" descr="SMK 8 ASLI.wmf">
          <a:extLst>
            <a:ext uri="{FF2B5EF4-FFF2-40B4-BE49-F238E27FC236}">
              <a16:creationId xmlns:a16="http://schemas.microsoft.com/office/drawing/2014/main" id="{195FF7CC-70EC-4944-96A7-F7CF7187E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152448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688</xdr:row>
      <xdr:rowOff>0</xdr:rowOff>
    </xdr:from>
    <xdr:ext cx="4310" cy="390525"/>
    <xdr:pic>
      <xdr:nvPicPr>
        <xdr:cNvPr id="64" name="Picture 63" descr="SMK 8 ASLI.wmf">
          <a:extLst>
            <a:ext uri="{FF2B5EF4-FFF2-40B4-BE49-F238E27FC236}">
              <a16:creationId xmlns:a16="http://schemas.microsoft.com/office/drawing/2014/main" id="{7654D3FC-BD24-45DB-823B-18B55B81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152448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762</xdr:row>
      <xdr:rowOff>38100</xdr:rowOff>
    </xdr:from>
    <xdr:to>
      <xdr:col>24</xdr:col>
      <xdr:colOff>57150</xdr:colOff>
      <xdr:row>769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24A9FC3-B1C4-4840-9F66-A06BA0419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45974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778</xdr:row>
      <xdr:rowOff>9525</xdr:rowOff>
    </xdr:from>
    <xdr:ext cx="1" cy="436245"/>
    <xdr:pic>
      <xdr:nvPicPr>
        <xdr:cNvPr id="66" name="Picture 65" descr="SMK 8 ASLI.wmf">
          <a:extLst>
            <a:ext uri="{FF2B5EF4-FFF2-40B4-BE49-F238E27FC236}">
              <a16:creationId xmlns:a16="http://schemas.microsoft.com/office/drawing/2014/main" id="{B7922D20-7977-43B0-8363-EE89FAE7B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3060108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776</xdr:row>
      <xdr:rowOff>9525</xdr:rowOff>
    </xdr:from>
    <xdr:ext cx="1" cy="381000"/>
    <xdr:pic>
      <xdr:nvPicPr>
        <xdr:cNvPr id="67" name="Picture 66" descr="SMK 8 ASLI.wmf">
          <a:extLst>
            <a:ext uri="{FF2B5EF4-FFF2-40B4-BE49-F238E27FC236}">
              <a16:creationId xmlns:a16="http://schemas.microsoft.com/office/drawing/2014/main" id="{3467A385-1FF0-41D8-9AE6-A9853E7B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3020484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778</xdr:row>
      <xdr:rowOff>0</xdr:rowOff>
    </xdr:from>
    <xdr:ext cx="4310" cy="390525"/>
    <xdr:pic>
      <xdr:nvPicPr>
        <xdr:cNvPr id="68" name="Picture 67" descr="SMK 8 ASLI.wmf">
          <a:extLst>
            <a:ext uri="{FF2B5EF4-FFF2-40B4-BE49-F238E27FC236}">
              <a16:creationId xmlns:a16="http://schemas.microsoft.com/office/drawing/2014/main" id="{751DE69B-EB06-4166-80AC-B377E460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305915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772</xdr:row>
      <xdr:rowOff>0</xdr:rowOff>
    </xdr:from>
    <xdr:ext cx="4310" cy="390525"/>
    <xdr:pic>
      <xdr:nvPicPr>
        <xdr:cNvPr id="69" name="Picture 68" descr="SMK 8 ASLI.wmf">
          <a:extLst>
            <a:ext uri="{FF2B5EF4-FFF2-40B4-BE49-F238E27FC236}">
              <a16:creationId xmlns:a16="http://schemas.microsoft.com/office/drawing/2014/main" id="{EE20176B-E3C4-4E22-9EDF-45938C0C8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294028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772</xdr:row>
      <xdr:rowOff>0</xdr:rowOff>
    </xdr:from>
    <xdr:ext cx="4310" cy="390525"/>
    <xdr:pic>
      <xdr:nvPicPr>
        <xdr:cNvPr id="70" name="Picture 69" descr="SMK 8 ASLI.wmf">
          <a:extLst>
            <a:ext uri="{FF2B5EF4-FFF2-40B4-BE49-F238E27FC236}">
              <a16:creationId xmlns:a16="http://schemas.microsoft.com/office/drawing/2014/main" id="{A9F5BCBD-4A83-493C-9763-3B716FF7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294028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772</xdr:row>
      <xdr:rowOff>0</xdr:rowOff>
    </xdr:from>
    <xdr:ext cx="4310" cy="390525"/>
    <xdr:pic>
      <xdr:nvPicPr>
        <xdr:cNvPr id="71" name="Picture 70" descr="SMK 8 ASLI.wmf">
          <a:extLst>
            <a:ext uri="{FF2B5EF4-FFF2-40B4-BE49-F238E27FC236}">
              <a16:creationId xmlns:a16="http://schemas.microsoft.com/office/drawing/2014/main" id="{062FC242-98D5-416B-A1C8-F8A07D9C3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294028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30079</xdr:colOff>
      <xdr:row>847</xdr:row>
      <xdr:rowOff>188494</xdr:rowOff>
    </xdr:from>
    <xdr:to>
      <xdr:col>24</xdr:col>
      <xdr:colOff>87229</xdr:colOff>
      <xdr:row>856</xdr:row>
      <xdr:rowOff>10026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0D57C42-AD15-4640-92EB-F7BAD34A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9" y="168921362"/>
          <a:ext cx="10113545" cy="162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864</xdr:row>
      <xdr:rowOff>9525</xdr:rowOff>
    </xdr:from>
    <xdr:ext cx="1" cy="436245"/>
    <xdr:pic>
      <xdr:nvPicPr>
        <xdr:cNvPr id="73" name="Picture 72" descr="SMK 8 ASLI.wmf">
          <a:extLst>
            <a:ext uri="{FF2B5EF4-FFF2-40B4-BE49-F238E27FC236}">
              <a16:creationId xmlns:a16="http://schemas.microsoft.com/office/drawing/2014/main" id="{0B3DB7EB-AA36-4EE3-A2BF-76221FF5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4475904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862</xdr:row>
      <xdr:rowOff>9525</xdr:rowOff>
    </xdr:from>
    <xdr:ext cx="1" cy="381000"/>
    <xdr:pic>
      <xdr:nvPicPr>
        <xdr:cNvPr id="74" name="Picture 73" descr="SMK 8 ASLI.wmf">
          <a:extLst>
            <a:ext uri="{FF2B5EF4-FFF2-40B4-BE49-F238E27FC236}">
              <a16:creationId xmlns:a16="http://schemas.microsoft.com/office/drawing/2014/main" id="{6D236042-DA4A-4C34-8D9F-DA966625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4436280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864</xdr:row>
      <xdr:rowOff>0</xdr:rowOff>
    </xdr:from>
    <xdr:ext cx="4310" cy="390525"/>
    <xdr:pic>
      <xdr:nvPicPr>
        <xdr:cNvPr id="75" name="Picture 74" descr="SMK 8 ASLI.wmf">
          <a:extLst>
            <a:ext uri="{FF2B5EF4-FFF2-40B4-BE49-F238E27FC236}">
              <a16:creationId xmlns:a16="http://schemas.microsoft.com/office/drawing/2014/main" id="{DC582FDC-700E-479C-8837-84EACCD83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447495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858</xdr:row>
      <xdr:rowOff>0</xdr:rowOff>
    </xdr:from>
    <xdr:ext cx="4310" cy="390525"/>
    <xdr:pic>
      <xdr:nvPicPr>
        <xdr:cNvPr id="76" name="Picture 75" descr="SMK 8 ASLI.wmf">
          <a:extLst>
            <a:ext uri="{FF2B5EF4-FFF2-40B4-BE49-F238E27FC236}">
              <a16:creationId xmlns:a16="http://schemas.microsoft.com/office/drawing/2014/main" id="{F23251E8-57FE-4E34-969E-8C39ABFB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435608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858</xdr:row>
      <xdr:rowOff>0</xdr:rowOff>
    </xdr:from>
    <xdr:ext cx="4310" cy="390525"/>
    <xdr:pic>
      <xdr:nvPicPr>
        <xdr:cNvPr id="77" name="Picture 76" descr="SMK 8 ASLI.wmf">
          <a:extLst>
            <a:ext uri="{FF2B5EF4-FFF2-40B4-BE49-F238E27FC236}">
              <a16:creationId xmlns:a16="http://schemas.microsoft.com/office/drawing/2014/main" id="{61A7AD06-D960-4323-A9FA-E309445FF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435608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858</xdr:row>
      <xdr:rowOff>0</xdr:rowOff>
    </xdr:from>
    <xdr:ext cx="4310" cy="390525"/>
    <xdr:pic>
      <xdr:nvPicPr>
        <xdr:cNvPr id="78" name="Picture 77" descr="SMK 8 ASLI.wmf">
          <a:extLst>
            <a:ext uri="{FF2B5EF4-FFF2-40B4-BE49-F238E27FC236}">
              <a16:creationId xmlns:a16="http://schemas.microsoft.com/office/drawing/2014/main" id="{6B8BC854-7753-4381-A218-F4642D33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435608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933</xdr:row>
      <xdr:rowOff>38100</xdr:rowOff>
    </xdr:from>
    <xdr:to>
      <xdr:col>24</xdr:col>
      <xdr:colOff>57150</xdr:colOff>
      <xdr:row>940</xdr:row>
      <xdr:rowOff>171450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07E8DD2-B293-4A79-80F6-01A394633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77566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949</xdr:row>
      <xdr:rowOff>9525</xdr:rowOff>
    </xdr:from>
    <xdr:ext cx="1" cy="436245"/>
    <xdr:pic>
      <xdr:nvPicPr>
        <xdr:cNvPr id="80" name="Picture 79" descr="SMK 8 ASLI.wmf">
          <a:extLst>
            <a:ext uri="{FF2B5EF4-FFF2-40B4-BE49-F238E27FC236}">
              <a16:creationId xmlns:a16="http://schemas.microsoft.com/office/drawing/2014/main" id="{86C88484-A491-418D-8B51-1D3CE260D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5891700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947</xdr:row>
      <xdr:rowOff>9525</xdr:rowOff>
    </xdr:from>
    <xdr:ext cx="1" cy="381000"/>
    <xdr:pic>
      <xdr:nvPicPr>
        <xdr:cNvPr id="81" name="Picture 80" descr="SMK 8 ASLI.wmf">
          <a:extLst>
            <a:ext uri="{FF2B5EF4-FFF2-40B4-BE49-F238E27FC236}">
              <a16:creationId xmlns:a16="http://schemas.microsoft.com/office/drawing/2014/main" id="{D2D27047-0D8C-4C6A-AA89-8EAD6D082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5852076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949</xdr:row>
      <xdr:rowOff>0</xdr:rowOff>
    </xdr:from>
    <xdr:ext cx="4310" cy="390525"/>
    <xdr:pic>
      <xdr:nvPicPr>
        <xdr:cNvPr id="82" name="Picture 81" descr="SMK 8 ASLI.wmf">
          <a:extLst>
            <a:ext uri="{FF2B5EF4-FFF2-40B4-BE49-F238E27FC236}">
              <a16:creationId xmlns:a16="http://schemas.microsoft.com/office/drawing/2014/main" id="{72329C4F-4BC2-4CE8-B77B-E5FDD4E2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589074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943</xdr:row>
      <xdr:rowOff>0</xdr:rowOff>
    </xdr:from>
    <xdr:ext cx="4310" cy="390525"/>
    <xdr:pic>
      <xdr:nvPicPr>
        <xdr:cNvPr id="83" name="Picture 82" descr="SMK 8 ASLI.wmf">
          <a:extLst>
            <a:ext uri="{FF2B5EF4-FFF2-40B4-BE49-F238E27FC236}">
              <a16:creationId xmlns:a16="http://schemas.microsoft.com/office/drawing/2014/main" id="{00FFFBD1-541A-4DD5-90EA-604583DC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577187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943</xdr:row>
      <xdr:rowOff>0</xdr:rowOff>
    </xdr:from>
    <xdr:ext cx="4310" cy="390525"/>
    <xdr:pic>
      <xdr:nvPicPr>
        <xdr:cNvPr id="84" name="Picture 83" descr="SMK 8 ASLI.wmf">
          <a:extLst>
            <a:ext uri="{FF2B5EF4-FFF2-40B4-BE49-F238E27FC236}">
              <a16:creationId xmlns:a16="http://schemas.microsoft.com/office/drawing/2014/main" id="{7C6DD964-4A57-41DC-BE4C-929571874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577187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943</xdr:row>
      <xdr:rowOff>0</xdr:rowOff>
    </xdr:from>
    <xdr:ext cx="4310" cy="390525"/>
    <xdr:pic>
      <xdr:nvPicPr>
        <xdr:cNvPr id="85" name="Picture 84" descr="SMK 8 ASLI.wmf">
          <a:extLst>
            <a:ext uri="{FF2B5EF4-FFF2-40B4-BE49-F238E27FC236}">
              <a16:creationId xmlns:a16="http://schemas.microsoft.com/office/drawing/2014/main" id="{E5A96C01-6151-41B1-A479-0F8768DE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577187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1017</xdr:row>
      <xdr:rowOff>38100</xdr:rowOff>
    </xdr:from>
    <xdr:to>
      <xdr:col>24</xdr:col>
      <xdr:colOff>57150</xdr:colOff>
      <xdr:row>1024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DD584C0-A9A2-484D-A22C-14BC5DE0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933620"/>
          <a:ext cx="9566910" cy="152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1033</xdr:row>
      <xdr:rowOff>9525</xdr:rowOff>
    </xdr:from>
    <xdr:ext cx="1" cy="436245"/>
    <xdr:pic>
      <xdr:nvPicPr>
        <xdr:cNvPr id="87" name="Picture 86" descr="SMK 8 ASLI.wmf">
          <a:extLst>
            <a:ext uri="{FF2B5EF4-FFF2-40B4-BE49-F238E27FC236}">
              <a16:creationId xmlns:a16="http://schemas.microsoft.com/office/drawing/2014/main" id="{F1ADE2FB-6C04-4CB7-8F4B-2FF432FD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7307496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1031</xdr:row>
      <xdr:rowOff>9525</xdr:rowOff>
    </xdr:from>
    <xdr:ext cx="1" cy="381000"/>
    <xdr:pic>
      <xdr:nvPicPr>
        <xdr:cNvPr id="88" name="Picture 87" descr="SMK 8 ASLI.wmf">
          <a:extLst>
            <a:ext uri="{FF2B5EF4-FFF2-40B4-BE49-F238E27FC236}">
              <a16:creationId xmlns:a16="http://schemas.microsoft.com/office/drawing/2014/main" id="{109FCD5E-0732-4684-AF95-82A325A26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726787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1033</xdr:row>
      <xdr:rowOff>0</xdr:rowOff>
    </xdr:from>
    <xdr:ext cx="4310" cy="390525"/>
    <xdr:pic>
      <xdr:nvPicPr>
        <xdr:cNvPr id="89" name="Picture 88" descr="SMK 8 ASLI.wmf">
          <a:extLst>
            <a:ext uri="{FF2B5EF4-FFF2-40B4-BE49-F238E27FC236}">
              <a16:creationId xmlns:a16="http://schemas.microsoft.com/office/drawing/2014/main" id="{7135AA1F-5DB0-4F87-B896-EE6EEDA7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730654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1027</xdr:row>
      <xdr:rowOff>0</xdr:rowOff>
    </xdr:from>
    <xdr:ext cx="4310" cy="390525"/>
    <xdr:pic>
      <xdr:nvPicPr>
        <xdr:cNvPr id="90" name="Picture 89" descr="SMK 8 ASLI.wmf">
          <a:extLst>
            <a:ext uri="{FF2B5EF4-FFF2-40B4-BE49-F238E27FC236}">
              <a16:creationId xmlns:a16="http://schemas.microsoft.com/office/drawing/2014/main" id="{CE4D0080-B96D-4AAB-B4AE-9F3892FF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71876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1027</xdr:row>
      <xdr:rowOff>0</xdr:rowOff>
    </xdr:from>
    <xdr:ext cx="4310" cy="390525"/>
    <xdr:pic>
      <xdr:nvPicPr>
        <xdr:cNvPr id="91" name="Picture 90" descr="SMK 8 ASLI.wmf">
          <a:extLst>
            <a:ext uri="{FF2B5EF4-FFF2-40B4-BE49-F238E27FC236}">
              <a16:creationId xmlns:a16="http://schemas.microsoft.com/office/drawing/2014/main" id="{440E6B90-7703-46C1-B435-EB5C0D34C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71876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1027</xdr:row>
      <xdr:rowOff>0</xdr:rowOff>
    </xdr:from>
    <xdr:ext cx="4310" cy="390525"/>
    <xdr:pic>
      <xdr:nvPicPr>
        <xdr:cNvPr id="92" name="Picture 91" descr="SMK 8 ASLI.wmf">
          <a:extLst>
            <a:ext uri="{FF2B5EF4-FFF2-40B4-BE49-F238E27FC236}">
              <a16:creationId xmlns:a16="http://schemas.microsoft.com/office/drawing/2014/main" id="{56E4FC93-A605-4592-9289-0E08C646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71876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160422</xdr:colOff>
      <xdr:row>1102</xdr:row>
      <xdr:rowOff>198520</xdr:rowOff>
    </xdr:from>
    <xdr:to>
      <xdr:col>24</xdr:col>
      <xdr:colOff>217572</xdr:colOff>
      <xdr:row>1109</xdr:row>
      <xdr:rowOff>150394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F7F07DE-55F8-44FE-974F-71998961A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2" y="219644494"/>
          <a:ext cx="10113545" cy="1355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1118</xdr:row>
      <xdr:rowOff>9525</xdr:rowOff>
    </xdr:from>
    <xdr:ext cx="1" cy="436245"/>
    <xdr:pic>
      <xdr:nvPicPr>
        <xdr:cNvPr id="94" name="Picture 93" descr="SMK 8 ASLI.wmf">
          <a:extLst>
            <a:ext uri="{FF2B5EF4-FFF2-40B4-BE49-F238E27FC236}">
              <a16:creationId xmlns:a16="http://schemas.microsoft.com/office/drawing/2014/main" id="{BF8EEE0F-A2A7-4680-934E-980E1ED65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87232925"/>
          <a:ext cx="1" cy="436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1116</xdr:row>
      <xdr:rowOff>9525</xdr:rowOff>
    </xdr:from>
    <xdr:ext cx="1" cy="381000"/>
    <xdr:pic>
      <xdr:nvPicPr>
        <xdr:cNvPr id="95" name="Picture 94" descr="SMK 8 ASLI.wmf">
          <a:extLst>
            <a:ext uri="{FF2B5EF4-FFF2-40B4-BE49-F238E27FC236}">
              <a16:creationId xmlns:a16="http://schemas.microsoft.com/office/drawing/2014/main" id="{714C5BE2-BD52-4834-8A0B-AD532BAD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022080" y="18683668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1118</xdr:row>
      <xdr:rowOff>0</xdr:rowOff>
    </xdr:from>
    <xdr:ext cx="4310" cy="390525"/>
    <xdr:pic>
      <xdr:nvPicPr>
        <xdr:cNvPr id="96" name="Picture 95" descr="SMK 8 ASLI.wmf">
          <a:extLst>
            <a:ext uri="{FF2B5EF4-FFF2-40B4-BE49-F238E27FC236}">
              <a16:creationId xmlns:a16="http://schemas.microsoft.com/office/drawing/2014/main" id="{2290993F-E272-4CE2-9323-19C9F1480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72234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1112</xdr:row>
      <xdr:rowOff>0</xdr:rowOff>
    </xdr:from>
    <xdr:ext cx="4310" cy="390525"/>
    <xdr:pic>
      <xdr:nvPicPr>
        <xdr:cNvPr id="97" name="Picture 96" descr="SMK 8 ASLI.wmf">
          <a:extLst>
            <a:ext uri="{FF2B5EF4-FFF2-40B4-BE49-F238E27FC236}">
              <a16:creationId xmlns:a16="http://schemas.microsoft.com/office/drawing/2014/main" id="{9D8AEFE9-F992-43DC-8AF4-2A8D9129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60346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1112</xdr:row>
      <xdr:rowOff>0</xdr:rowOff>
    </xdr:from>
    <xdr:ext cx="4310" cy="390525"/>
    <xdr:pic>
      <xdr:nvPicPr>
        <xdr:cNvPr id="98" name="Picture 97" descr="SMK 8 ASLI.wmf">
          <a:extLst>
            <a:ext uri="{FF2B5EF4-FFF2-40B4-BE49-F238E27FC236}">
              <a16:creationId xmlns:a16="http://schemas.microsoft.com/office/drawing/2014/main" id="{0CBA6A5C-4712-4E1F-8A43-1B4944C6D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60346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1112</xdr:row>
      <xdr:rowOff>0</xdr:rowOff>
    </xdr:from>
    <xdr:ext cx="4310" cy="390525"/>
    <xdr:pic>
      <xdr:nvPicPr>
        <xdr:cNvPr id="99" name="Picture 98" descr="SMK 8 ASLI.wmf">
          <a:extLst>
            <a:ext uri="{FF2B5EF4-FFF2-40B4-BE49-F238E27FC236}">
              <a16:creationId xmlns:a16="http://schemas.microsoft.com/office/drawing/2014/main" id="{5105E572-9FD1-40B1-8D83-6EE22E00D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860346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24</xdr:col>
      <xdr:colOff>57150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B6F8D-B13E-457A-8686-DBC3C0AB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950"/>
          <a:ext cx="8813800" cy="111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16</xdr:row>
      <xdr:rowOff>9525</xdr:rowOff>
    </xdr:from>
    <xdr:to>
      <xdr:col>22</xdr:col>
      <xdr:colOff>1</xdr:colOff>
      <xdr:row>18</xdr:row>
      <xdr:rowOff>19050</xdr:rowOff>
    </xdr:to>
    <xdr:pic>
      <xdr:nvPicPr>
        <xdr:cNvPr id="3" name="Picture 2" descr="SMK 8 ASLI.wmf">
          <a:extLst>
            <a:ext uri="{FF2B5EF4-FFF2-40B4-BE49-F238E27FC236}">
              <a16:creationId xmlns:a16="http://schemas.microsoft.com/office/drawing/2014/main" id="{34812239-CF21-4C0D-BF99-FEE888BE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27654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14</xdr:row>
      <xdr:rowOff>9525</xdr:rowOff>
    </xdr:from>
    <xdr:ext cx="1" cy="381000"/>
    <xdr:pic>
      <xdr:nvPicPr>
        <xdr:cNvPr id="4" name="Picture 3" descr="SMK 8 ASLI.wmf">
          <a:extLst>
            <a:ext uri="{FF2B5EF4-FFF2-40B4-BE49-F238E27FC236}">
              <a16:creationId xmlns:a16="http://schemas.microsoft.com/office/drawing/2014/main" id="{41924E51-084F-452D-9017-ACF4F197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2568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16</xdr:row>
      <xdr:rowOff>0</xdr:rowOff>
    </xdr:from>
    <xdr:ext cx="4310" cy="390525"/>
    <xdr:pic>
      <xdr:nvPicPr>
        <xdr:cNvPr id="5" name="Picture 4" descr="SMK 8 ASLI.wmf">
          <a:extLst>
            <a:ext uri="{FF2B5EF4-FFF2-40B4-BE49-F238E27FC236}">
              <a16:creationId xmlns:a16="http://schemas.microsoft.com/office/drawing/2014/main" id="{FD3EA48F-483E-46EA-AC35-7050D4D8A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6601" y="2755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95</xdr:row>
      <xdr:rowOff>9525</xdr:rowOff>
    </xdr:from>
    <xdr:ext cx="1" cy="381000"/>
    <xdr:pic>
      <xdr:nvPicPr>
        <xdr:cNvPr id="6" name="Picture 5" descr="SMK 8 ASLI.wmf">
          <a:extLst>
            <a:ext uri="{FF2B5EF4-FFF2-40B4-BE49-F238E27FC236}">
              <a16:creationId xmlns:a16="http://schemas.microsoft.com/office/drawing/2014/main" id="{C431EE2B-0902-43EC-B3F9-57F2BCF6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161067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94</xdr:row>
      <xdr:rowOff>9525</xdr:rowOff>
    </xdr:from>
    <xdr:ext cx="1" cy="381000"/>
    <xdr:pic>
      <xdr:nvPicPr>
        <xdr:cNvPr id="7" name="Picture 6" descr="SMK 8 ASLI.wmf">
          <a:extLst>
            <a:ext uri="{FF2B5EF4-FFF2-40B4-BE49-F238E27FC236}">
              <a16:creationId xmlns:a16="http://schemas.microsoft.com/office/drawing/2014/main" id="{449D59E9-0DF7-4409-A25B-9949B97E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159099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95</xdr:row>
      <xdr:rowOff>0</xdr:rowOff>
    </xdr:from>
    <xdr:ext cx="4310" cy="390525"/>
    <xdr:pic>
      <xdr:nvPicPr>
        <xdr:cNvPr id="8" name="Picture 7" descr="SMK 8 ASLI.wmf">
          <a:extLst>
            <a:ext uri="{FF2B5EF4-FFF2-40B4-BE49-F238E27FC236}">
              <a16:creationId xmlns:a16="http://schemas.microsoft.com/office/drawing/2014/main" id="{B28031C1-53C5-4B32-A95B-EA70F9CB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6601" y="160972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95</xdr:row>
      <xdr:rowOff>9525</xdr:rowOff>
    </xdr:from>
    <xdr:ext cx="1" cy="381000"/>
    <xdr:pic>
      <xdr:nvPicPr>
        <xdr:cNvPr id="9" name="Picture 8" descr="SMK 8 ASLI.wmf">
          <a:extLst>
            <a:ext uri="{FF2B5EF4-FFF2-40B4-BE49-F238E27FC236}">
              <a16:creationId xmlns:a16="http://schemas.microsoft.com/office/drawing/2014/main" id="{DAB10A49-4424-4DA9-8890-B97C93D8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161067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94</xdr:row>
      <xdr:rowOff>9525</xdr:rowOff>
    </xdr:from>
    <xdr:ext cx="1" cy="381000"/>
    <xdr:pic>
      <xdr:nvPicPr>
        <xdr:cNvPr id="10" name="Picture 9" descr="SMK 8 ASLI.wmf">
          <a:extLst>
            <a:ext uri="{FF2B5EF4-FFF2-40B4-BE49-F238E27FC236}">
              <a16:creationId xmlns:a16="http://schemas.microsoft.com/office/drawing/2014/main" id="{A562F5F8-6B3D-452E-AB85-CF4AFDCAF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159099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95</xdr:row>
      <xdr:rowOff>0</xdr:rowOff>
    </xdr:from>
    <xdr:ext cx="4310" cy="390525"/>
    <xdr:pic>
      <xdr:nvPicPr>
        <xdr:cNvPr id="11" name="Picture 10" descr="SMK 8 ASLI.wmf">
          <a:extLst>
            <a:ext uri="{FF2B5EF4-FFF2-40B4-BE49-F238E27FC236}">
              <a16:creationId xmlns:a16="http://schemas.microsoft.com/office/drawing/2014/main" id="{3F500B59-5315-4059-B1F2-7598486E9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6601" y="160972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187</xdr:row>
      <xdr:rowOff>9525</xdr:rowOff>
    </xdr:from>
    <xdr:ext cx="1" cy="381000"/>
    <xdr:pic>
      <xdr:nvPicPr>
        <xdr:cNvPr id="12" name="Picture 11" descr="SMK 8 ASLI.wmf">
          <a:extLst>
            <a:ext uri="{FF2B5EF4-FFF2-40B4-BE49-F238E27FC236}">
              <a16:creationId xmlns:a16="http://schemas.microsoft.com/office/drawing/2014/main" id="{B47BE789-9E58-447F-A534-17249D94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7689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13" name="Picture 12" descr="SMK 8 ASLI.wmf">
          <a:extLst>
            <a:ext uri="{FF2B5EF4-FFF2-40B4-BE49-F238E27FC236}">
              <a16:creationId xmlns:a16="http://schemas.microsoft.com/office/drawing/2014/main" id="{A13A7E40-EB36-4BA2-A8E3-617E7049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5720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187</xdr:row>
      <xdr:rowOff>0</xdr:rowOff>
    </xdr:from>
    <xdr:ext cx="4310" cy="390525"/>
    <xdr:pic>
      <xdr:nvPicPr>
        <xdr:cNvPr id="14" name="Picture 13" descr="SMK 8 ASLI.wmf">
          <a:extLst>
            <a:ext uri="{FF2B5EF4-FFF2-40B4-BE49-F238E27FC236}">
              <a16:creationId xmlns:a16="http://schemas.microsoft.com/office/drawing/2014/main" id="{0DA559A5-6C42-4EA4-8957-9CB7A96E8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6601" y="307594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187</xdr:row>
      <xdr:rowOff>9525</xdr:rowOff>
    </xdr:from>
    <xdr:ext cx="1" cy="381000"/>
    <xdr:pic>
      <xdr:nvPicPr>
        <xdr:cNvPr id="15" name="Picture 14" descr="SMK 8 ASLI.wmf">
          <a:extLst>
            <a:ext uri="{FF2B5EF4-FFF2-40B4-BE49-F238E27FC236}">
              <a16:creationId xmlns:a16="http://schemas.microsoft.com/office/drawing/2014/main" id="{A57B2968-8AA1-41A7-A43B-8FBA2C1A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7689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16" name="Picture 15" descr="SMK 8 ASLI.wmf">
          <a:extLst>
            <a:ext uri="{FF2B5EF4-FFF2-40B4-BE49-F238E27FC236}">
              <a16:creationId xmlns:a16="http://schemas.microsoft.com/office/drawing/2014/main" id="{8D62AC09-F2DD-416A-B67C-B73A76F61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5720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</xdr:colOff>
      <xdr:row>186</xdr:row>
      <xdr:rowOff>152400</xdr:rowOff>
    </xdr:from>
    <xdr:ext cx="4310" cy="390525"/>
    <xdr:pic>
      <xdr:nvPicPr>
        <xdr:cNvPr id="17" name="Picture 16" descr="SMK 8 ASLI.wmf">
          <a:extLst>
            <a:ext uri="{FF2B5EF4-FFF2-40B4-BE49-F238E27FC236}">
              <a16:creationId xmlns:a16="http://schemas.microsoft.com/office/drawing/2014/main" id="{BB6F8938-5EEB-4EEE-91AB-82EFDF9D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60578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95</xdr:row>
      <xdr:rowOff>9525</xdr:rowOff>
    </xdr:from>
    <xdr:ext cx="1" cy="381000"/>
    <xdr:pic>
      <xdr:nvPicPr>
        <xdr:cNvPr id="18" name="Picture 17" descr="SMK 8 ASLI.wmf">
          <a:extLst>
            <a:ext uri="{FF2B5EF4-FFF2-40B4-BE49-F238E27FC236}">
              <a16:creationId xmlns:a16="http://schemas.microsoft.com/office/drawing/2014/main" id="{482B1C94-5DE1-4119-9682-472A50286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161067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94</xdr:row>
      <xdr:rowOff>9525</xdr:rowOff>
    </xdr:from>
    <xdr:ext cx="1" cy="381000"/>
    <xdr:pic>
      <xdr:nvPicPr>
        <xdr:cNvPr id="19" name="Picture 18" descr="SMK 8 ASLI.wmf">
          <a:extLst>
            <a:ext uri="{FF2B5EF4-FFF2-40B4-BE49-F238E27FC236}">
              <a16:creationId xmlns:a16="http://schemas.microsoft.com/office/drawing/2014/main" id="{16166621-EEBE-4DE7-BA39-3C9927DC7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159099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95</xdr:row>
      <xdr:rowOff>0</xdr:rowOff>
    </xdr:from>
    <xdr:ext cx="4310" cy="390525"/>
    <xdr:pic>
      <xdr:nvPicPr>
        <xdr:cNvPr id="20" name="Picture 19" descr="SMK 8 ASLI.wmf">
          <a:extLst>
            <a:ext uri="{FF2B5EF4-FFF2-40B4-BE49-F238E27FC236}">
              <a16:creationId xmlns:a16="http://schemas.microsoft.com/office/drawing/2014/main" id="{A949DEFD-0AB7-4049-875B-9990F3279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8227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21" name="Picture 20" descr="SMK 8 ASLI.wmf">
          <a:extLst>
            <a:ext uri="{FF2B5EF4-FFF2-40B4-BE49-F238E27FC236}">
              <a16:creationId xmlns:a16="http://schemas.microsoft.com/office/drawing/2014/main" id="{7C348CBD-F78D-4015-B074-62D5F2694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5720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22" name="Picture 21" descr="SMK 8 ASLI.wmf">
          <a:extLst>
            <a:ext uri="{FF2B5EF4-FFF2-40B4-BE49-F238E27FC236}">
              <a16:creationId xmlns:a16="http://schemas.microsoft.com/office/drawing/2014/main" id="{CBD30CCB-F14C-4868-9D8F-4791345A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5720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23" name="Picture 22" descr="SMK 8 ASLI.wmf">
          <a:extLst>
            <a:ext uri="{FF2B5EF4-FFF2-40B4-BE49-F238E27FC236}">
              <a16:creationId xmlns:a16="http://schemas.microsoft.com/office/drawing/2014/main" id="{1976064D-133D-40D3-92D1-6325438D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1350" y="305720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114300</xdr:colOff>
      <xdr:row>13</xdr:row>
      <xdr:rowOff>156210</xdr:rowOff>
    </xdr:from>
    <xdr:to>
      <xdr:col>3</xdr:col>
      <xdr:colOff>790575</xdr:colOff>
      <xdr:row>16</xdr:row>
      <xdr:rowOff>80010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47410EE-8EBC-4367-A191-BA6D80348624}"/>
            </a:ext>
          </a:extLst>
        </xdr:cNvPr>
        <xdr:cNvSpPr txBox="1"/>
      </xdr:nvSpPr>
      <xdr:spPr>
        <a:xfrm>
          <a:off x="1234440" y="2335530"/>
          <a:ext cx="1636395" cy="3200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SHINTA ANNISA,S.Pd.</a:t>
          </a:r>
        </a:p>
      </xdr:txBody>
    </xdr:sp>
    <xdr:clientData/>
  </xdr:twoCellAnchor>
  <xdr:twoCellAnchor editAs="oneCell">
    <xdr:from>
      <xdr:col>22</xdr:col>
      <xdr:colOff>0</xdr:colOff>
      <xdr:row>85</xdr:row>
      <xdr:rowOff>0</xdr:rowOff>
    </xdr:from>
    <xdr:to>
      <xdr:col>22</xdr:col>
      <xdr:colOff>1</xdr:colOff>
      <xdr:row>87</xdr:row>
      <xdr:rowOff>0</xdr:rowOff>
    </xdr:to>
    <xdr:pic>
      <xdr:nvPicPr>
        <xdr:cNvPr id="25" name="Picture 24" descr="SMK 8 ASLI.wmf">
          <a:extLst>
            <a:ext uri="{FF2B5EF4-FFF2-40B4-BE49-F238E27FC236}">
              <a16:creationId xmlns:a16="http://schemas.microsoft.com/office/drawing/2014/main" id="{5EBC3904-5111-4EFE-B88F-CF3A8610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85</xdr:row>
      <xdr:rowOff>0</xdr:rowOff>
    </xdr:from>
    <xdr:ext cx="1" cy="381000"/>
    <xdr:pic>
      <xdr:nvPicPr>
        <xdr:cNvPr id="26" name="Picture 25" descr="SMK 8 ASLI.wmf">
          <a:extLst>
            <a:ext uri="{FF2B5EF4-FFF2-40B4-BE49-F238E27FC236}">
              <a16:creationId xmlns:a16="http://schemas.microsoft.com/office/drawing/2014/main" id="{F6C47346-EEA9-47DC-9250-230EEFFD3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85</xdr:row>
      <xdr:rowOff>0</xdr:rowOff>
    </xdr:from>
    <xdr:ext cx="4310" cy="390525"/>
    <xdr:pic>
      <xdr:nvPicPr>
        <xdr:cNvPr id="27" name="Picture 26" descr="SMK 8 ASLI.wmf">
          <a:extLst>
            <a:ext uri="{FF2B5EF4-FFF2-40B4-BE49-F238E27FC236}">
              <a16:creationId xmlns:a16="http://schemas.microsoft.com/office/drawing/2014/main" id="{36213D9C-4D2E-4554-AAA5-F4FE376BA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625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101</xdr:row>
      <xdr:rowOff>9525</xdr:rowOff>
    </xdr:from>
    <xdr:ext cx="1" cy="381000"/>
    <xdr:pic>
      <xdr:nvPicPr>
        <xdr:cNvPr id="28" name="Picture 27" descr="SMK 8 ASLI.wmf">
          <a:extLst>
            <a:ext uri="{FF2B5EF4-FFF2-40B4-BE49-F238E27FC236}">
              <a16:creationId xmlns:a16="http://schemas.microsoft.com/office/drawing/2014/main" id="{A7099CDF-3C13-4E1D-A50A-441C775A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99</xdr:row>
      <xdr:rowOff>9525</xdr:rowOff>
    </xdr:from>
    <xdr:ext cx="1" cy="381000"/>
    <xdr:pic>
      <xdr:nvPicPr>
        <xdr:cNvPr id="29" name="Picture 28" descr="SMK 8 ASLI.wmf">
          <a:extLst>
            <a:ext uri="{FF2B5EF4-FFF2-40B4-BE49-F238E27FC236}">
              <a16:creationId xmlns:a16="http://schemas.microsoft.com/office/drawing/2014/main" id="{51362FCB-07FF-4DF1-B97B-F83981F2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101</xdr:row>
      <xdr:rowOff>0</xdr:rowOff>
    </xdr:from>
    <xdr:ext cx="4310" cy="390525"/>
    <xdr:pic>
      <xdr:nvPicPr>
        <xdr:cNvPr id="30" name="Picture 29" descr="SMK 8 ASLI.wmf">
          <a:extLst>
            <a:ext uri="{FF2B5EF4-FFF2-40B4-BE49-F238E27FC236}">
              <a16:creationId xmlns:a16="http://schemas.microsoft.com/office/drawing/2014/main" id="{014B5CEC-23FA-4535-9C8D-9A8819AF6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625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207645</xdr:colOff>
      <xdr:row>84</xdr:row>
      <xdr:rowOff>175260</xdr:rowOff>
    </xdr:from>
    <xdr:to>
      <xdr:col>25</xdr:col>
      <xdr:colOff>20955</xdr:colOff>
      <xdr:row>92</xdr:row>
      <xdr:rowOff>20956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7D61BD0-F9EF-462C-A310-ADEF85EBF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" y="16360140"/>
          <a:ext cx="9566910" cy="1308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101</xdr:row>
      <xdr:rowOff>9525</xdr:rowOff>
    </xdr:from>
    <xdr:ext cx="1" cy="381000"/>
    <xdr:pic>
      <xdr:nvPicPr>
        <xdr:cNvPr id="32" name="Picture 31" descr="SMK 8 ASLI.wmf">
          <a:extLst>
            <a:ext uri="{FF2B5EF4-FFF2-40B4-BE49-F238E27FC236}">
              <a16:creationId xmlns:a16="http://schemas.microsoft.com/office/drawing/2014/main" id="{86CAD977-1D72-422D-8716-A6D5766B5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99</xdr:row>
      <xdr:rowOff>9525</xdr:rowOff>
    </xdr:from>
    <xdr:ext cx="1" cy="381000"/>
    <xdr:pic>
      <xdr:nvPicPr>
        <xdr:cNvPr id="33" name="Picture 32" descr="SMK 8 ASLI.wmf">
          <a:extLst>
            <a:ext uri="{FF2B5EF4-FFF2-40B4-BE49-F238E27FC236}">
              <a16:creationId xmlns:a16="http://schemas.microsoft.com/office/drawing/2014/main" id="{B0395930-F2BC-4944-88EC-D702DED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101</xdr:row>
      <xdr:rowOff>0</xdr:rowOff>
    </xdr:from>
    <xdr:ext cx="4310" cy="390525"/>
    <xdr:pic>
      <xdr:nvPicPr>
        <xdr:cNvPr id="34" name="Picture 33" descr="SMK 8 ASLI.wmf">
          <a:extLst>
            <a:ext uri="{FF2B5EF4-FFF2-40B4-BE49-F238E27FC236}">
              <a16:creationId xmlns:a16="http://schemas.microsoft.com/office/drawing/2014/main" id="{DA62313C-877F-4174-B9E5-637F3F1E6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625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101</xdr:row>
      <xdr:rowOff>9525</xdr:rowOff>
    </xdr:from>
    <xdr:ext cx="1" cy="381000"/>
    <xdr:pic>
      <xdr:nvPicPr>
        <xdr:cNvPr id="35" name="Picture 34" descr="SMK 8 ASLI.wmf">
          <a:extLst>
            <a:ext uri="{FF2B5EF4-FFF2-40B4-BE49-F238E27FC236}">
              <a16:creationId xmlns:a16="http://schemas.microsoft.com/office/drawing/2014/main" id="{47AAAE63-B48A-41EC-94C1-411E8B08F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99</xdr:row>
      <xdr:rowOff>9525</xdr:rowOff>
    </xdr:from>
    <xdr:ext cx="1" cy="381000"/>
    <xdr:pic>
      <xdr:nvPicPr>
        <xdr:cNvPr id="36" name="Picture 35" descr="SMK 8 ASLI.wmf">
          <a:extLst>
            <a:ext uri="{FF2B5EF4-FFF2-40B4-BE49-F238E27FC236}">
              <a16:creationId xmlns:a16="http://schemas.microsoft.com/office/drawing/2014/main" id="{D7C412D5-D626-4212-87B0-AE533A55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4772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101</xdr:row>
      <xdr:rowOff>0</xdr:rowOff>
    </xdr:from>
    <xdr:ext cx="4310" cy="390525"/>
    <xdr:pic>
      <xdr:nvPicPr>
        <xdr:cNvPr id="37" name="Picture 36" descr="SMK 8 ASLI.wmf">
          <a:extLst>
            <a:ext uri="{FF2B5EF4-FFF2-40B4-BE49-F238E27FC236}">
              <a16:creationId xmlns:a16="http://schemas.microsoft.com/office/drawing/2014/main" id="{D2CDADE6-9BFD-406B-904D-698DA65D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625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70485</xdr:colOff>
      <xdr:row>98</xdr:row>
      <xdr:rowOff>156211</xdr:rowOff>
    </xdr:from>
    <xdr:to>
      <xdr:col>3</xdr:col>
      <xdr:colOff>845820</xdr:colOff>
      <xdr:row>99</xdr:row>
      <xdr:rowOff>175261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42129C2-9ECA-410C-8B8F-729648DA1C07}"/>
            </a:ext>
          </a:extLst>
        </xdr:cNvPr>
        <xdr:cNvSpPr txBox="1"/>
      </xdr:nvSpPr>
      <xdr:spPr>
        <a:xfrm>
          <a:off x="1190625" y="18962371"/>
          <a:ext cx="1735455" cy="20193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REZQY MUHAMMAD NUR ALAM, S.Pd.</a:t>
          </a:r>
        </a:p>
      </xdr:txBody>
    </xdr:sp>
    <xdr:clientData/>
  </xdr:twoCellAnchor>
  <xdr:twoCellAnchor editAs="oneCell">
    <xdr:from>
      <xdr:col>22</xdr:col>
      <xdr:colOff>0</xdr:colOff>
      <xdr:row>169</xdr:row>
      <xdr:rowOff>0</xdr:rowOff>
    </xdr:from>
    <xdr:to>
      <xdr:col>22</xdr:col>
      <xdr:colOff>1</xdr:colOff>
      <xdr:row>171</xdr:row>
      <xdr:rowOff>1</xdr:rowOff>
    </xdr:to>
    <xdr:pic>
      <xdr:nvPicPr>
        <xdr:cNvPr id="39" name="Picture 38" descr="SMK 8 ASLI.wmf">
          <a:extLst>
            <a:ext uri="{FF2B5EF4-FFF2-40B4-BE49-F238E27FC236}">
              <a16:creationId xmlns:a16="http://schemas.microsoft.com/office/drawing/2014/main" id="{38BE8AEE-F126-45E5-B1D0-D92632578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169</xdr:row>
      <xdr:rowOff>0</xdr:rowOff>
    </xdr:from>
    <xdr:ext cx="1" cy="381000"/>
    <xdr:pic>
      <xdr:nvPicPr>
        <xdr:cNvPr id="40" name="Picture 39" descr="SMK 8 ASLI.wmf">
          <a:extLst>
            <a:ext uri="{FF2B5EF4-FFF2-40B4-BE49-F238E27FC236}">
              <a16:creationId xmlns:a16="http://schemas.microsoft.com/office/drawing/2014/main" id="{0B2184D5-6F49-43D9-BA99-A79F1080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169</xdr:row>
      <xdr:rowOff>0</xdr:rowOff>
    </xdr:from>
    <xdr:ext cx="4310" cy="390525"/>
    <xdr:pic>
      <xdr:nvPicPr>
        <xdr:cNvPr id="41" name="Picture 40" descr="SMK 8 ASLI.wmf">
          <a:extLst>
            <a:ext uri="{FF2B5EF4-FFF2-40B4-BE49-F238E27FC236}">
              <a16:creationId xmlns:a16="http://schemas.microsoft.com/office/drawing/2014/main" id="{B2610554-F58C-4479-819E-C69E67571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164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169</xdr:row>
      <xdr:rowOff>0</xdr:rowOff>
    </xdr:from>
    <xdr:ext cx="1" cy="381000"/>
    <xdr:pic>
      <xdr:nvPicPr>
        <xdr:cNvPr id="42" name="Picture 41" descr="SMK 8 ASLI.wmf">
          <a:extLst>
            <a:ext uri="{FF2B5EF4-FFF2-40B4-BE49-F238E27FC236}">
              <a16:creationId xmlns:a16="http://schemas.microsoft.com/office/drawing/2014/main" id="{A621E1EB-1FB6-40F1-938D-C7AE4F35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169</xdr:row>
      <xdr:rowOff>0</xdr:rowOff>
    </xdr:from>
    <xdr:ext cx="1" cy="381000"/>
    <xdr:pic>
      <xdr:nvPicPr>
        <xdr:cNvPr id="43" name="Picture 42" descr="SMK 8 ASLI.wmf">
          <a:extLst>
            <a:ext uri="{FF2B5EF4-FFF2-40B4-BE49-F238E27FC236}">
              <a16:creationId xmlns:a16="http://schemas.microsoft.com/office/drawing/2014/main" id="{97A1053A-411C-4688-BF52-86BEB796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169</xdr:row>
      <xdr:rowOff>0</xdr:rowOff>
    </xdr:from>
    <xdr:ext cx="4310" cy="390525"/>
    <xdr:pic>
      <xdr:nvPicPr>
        <xdr:cNvPr id="44" name="Picture 43" descr="SMK 8 ASLI.wmf">
          <a:extLst>
            <a:ext uri="{FF2B5EF4-FFF2-40B4-BE49-F238E27FC236}">
              <a16:creationId xmlns:a16="http://schemas.microsoft.com/office/drawing/2014/main" id="{4C461A6B-2DB9-4D2A-B416-5A86873C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164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169</xdr:row>
      <xdr:rowOff>0</xdr:rowOff>
    </xdr:from>
    <xdr:ext cx="1" cy="381000"/>
    <xdr:pic>
      <xdr:nvPicPr>
        <xdr:cNvPr id="45" name="Picture 44" descr="SMK 8 ASLI.wmf">
          <a:extLst>
            <a:ext uri="{FF2B5EF4-FFF2-40B4-BE49-F238E27FC236}">
              <a16:creationId xmlns:a16="http://schemas.microsoft.com/office/drawing/2014/main" id="{CDCFB778-C9CB-4C8A-A890-DA6356C10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169</xdr:row>
      <xdr:rowOff>0</xdr:rowOff>
    </xdr:from>
    <xdr:ext cx="1" cy="381000"/>
    <xdr:pic>
      <xdr:nvPicPr>
        <xdr:cNvPr id="46" name="Picture 45" descr="SMK 8 ASLI.wmf">
          <a:extLst>
            <a:ext uri="{FF2B5EF4-FFF2-40B4-BE49-F238E27FC236}">
              <a16:creationId xmlns:a16="http://schemas.microsoft.com/office/drawing/2014/main" id="{33B3322A-9C22-46F6-B0FB-8778935A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169</xdr:row>
      <xdr:rowOff>0</xdr:rowOff>
    </xdr:from>
    <xdr:ext cx="4310" cy="390525"/>
    <xdr:pic>
      <xdr:nvPicPr>
        <xdr:cNvPr id="47" name="Picture 46" descr="SMK 8 ASLI.wmf">
          <a:extLst>
            <a:ext uri="{FF2B5EF4-FFF2-40B4-BE49-F238E27FC236}">
              <a16:creationId xmlns:a16="http://schemas.microsoft.com/office/drawing/2014/main" id="{B2D27FAF-5FBE-4A65-91E3-7278D6B7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164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48" name="Picture 47" descr="SMK 8 ASLI.wmf">
          <a:extLst>
            <a:ext uri="{FF2B5EF4-FFF2-40B4-BE49-F238E27FC236}">
              <a16:creationId xmlns:a16="http://schemas.microsoft.com/office/drawing/2014/main" id="{0C9A72E1-1491-4EE0-9ED3-382036C76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185</xdr:row>
      <xdr:rowOff>9525</xdr:rowOff>
    </xdr:from>
    <xdr:ext cx="1" cy="381000"/>
    <xdr:pic>
      <xdr:nvPicPr>
        <xdr:cNvPr id="49" name="Picture 48" descr="SMK 8 ASLI.wmf">
          <a:extLst>
            <a:ext uri="{FF2B5EF4-FFF2-40B4-BE49-F238E27FC236}">
              <a16:creationId xmlns:a16="http://schemas.microsoft.com/office/drawing/2014/main" id="{0C70F517-BC3B-4E04-A98B-D29C0BE3C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186</xdr:row>
      <xdr:rowOff>0</xdr:rowOff>
    </xdr:from>
    <xdr:ext cx="4310" cy="390525"/>
    <xdr:pic>
      <xdr:nvPicPr>
        <xdr:cNvPr id="50" name="Picture 49" descr="SMK 8 ASLI.wmf">
          <a:extLst>
            <a:ext uri="{FF2B5EF4-FFF2-40B4-BE49-F238E27FC236}">
              <a16:creationId xmlns:a16="http://schemas.microsoft.com/office/drawing/2014/main" id="{FF6AE3C2-AE5F-4BD4-954D-B89C5B353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1645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51" name="Picture 50" descr="SMK 8 ASLI.wmf">
          <a:extLst>
            <a:ext uri="{FF2B5EF4-FFF2-40B4-BE49-F238E27FC236}">
              <a16:creationId xmlns:a16="http://schemas.microsoft.com/office/drawing/2014/main" id="{6F6C3F72-DC4E-4242-A8AA-2D4F040B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185</xdr:row>
      <xdr:rowOff>9525</xdr:rowOff>
    </xdr:from>
    <xdr:ext cx="1" cy="381000"/>
    <xdr:pic>
      <xdr:nvPicPr>
        <xdr:cNvPr id="52" name="Picture 51" descr="SMK 8 ASLI.wmf">
          <a:extLst>
            <a:ext uri="{FF2B5EF4-FFF2-40B4-BE49-F238E27FC236}">
              <a16:creationId xmlns:a16="http://schemas.microsoft.com/office/drawing/2014/main" id="{3A8FBE88-7293-49E2-BB0D-7195D8CDA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186</xdr:row>
      <xdr:rowOff>0</xdr:rowOff>
    </xdr:from>
    <xdr:ext cx="4310" cy="390525"/>
    <xdr:pic>
      <xdr:nvPicPr>
        <xdr:cNvPr id="53" name="Picture 52" descr="SMK 8 ASLI.wmf">
          <a:extLst>
            <a:ext uri="{FF2B5EF4-FFF2-40B4-BE49-F238E27FC236}">
              <a16:creationId xmlns:a16="http://schemas.microsoft.com/office/drawing/2014/main" id="{E584BDAE-C062-44BC-B161-F5285ABB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1645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169</xdr:row>
      <xdr:rowOff>163830</xdr:rowOff>
    </xdr:from>
    <xdr:to>
      <xdr:col>24</xdr:col>
      <xdr:colOff>57150</xdr:colOff>
      <xdr:row>177</xdr:row>
      <xdr:rowOff>47626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1FB4FB4-B30B-4CDB-9F5E-FE401BAF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01230"/>
          <a:ext cx="9566910" cy="134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169</xdr:row>
      <xdr:rowOff>0</xdr:rowOff>
    </xdr:from>
    <xdr:ext cx="1" cy="381000"/>
    <xdr:pic>
      <xdr:nvPicPr>
        <xdr:cNvPr id="55" name="Picture 54" descr="SMK 8 ASLI.wmf">
          <a:extLst>
            <a:ext uri="{FF2B5EF4-FFF2-40B4-BE49-F238E27FC236}">
              <a16:creationId xmlns:a16="http://schemas.microsoft.com/office/drawing/2014/main" id="{3E0CB13A-FF99-4175-991A-954A7E4E9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169</xdr:row>
      <xdr:rowOff>0</xdr:rowOff>
    </xdr:from>
    <xdr:ext cx="1" cy="381000"/>
    <xdr:pic>
      <xdr:nvPicPr>
        <xdr:cNvPr id="56" name="Picture 55" descr="SMK 8 ASLI.wmf">
          <a:extLst>
            <a:ext uri="{FF2B5EF4-FFF2-40B4-BE49-F238E27FC236}">
              <a16:creationId xmlns:a16="http://schemas.microsoft.com/office/drawing/2014/main" id="{9B07CB97-E03E-4605-AC50-DE9FF7BBE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169</xdr:row>
      <xdr:rowOff>0</xdr:rowOff>
    </xdr:from>
    <xdr:ext cx="4310" cy="390525"/>
    <xdr:pic>
      <xdr:nvPicPr>
        <xdr:cNvPr id="57" name="Picture 56" descr="SMK 8 ASLI.wmf">
          <a:extLst>
            <a:ext uri="{FF2B5EF4-FFF2-40B4-BE49-F238E27FC236}">
              <a16:creationId xmlns:a16="http://schemas.microsoft.com/office/drawing/2014/main" id="{517CA581-B899-42AD-932A-54FC4E2B0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164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185</xdr:row>
      <xdr:rowOff>9525</xdr:rowOff>
    </xdr:from>
    <xdr:ext cx="1" cy="381000"/>
    <xdr:pic>
      <xdr:nvPicPr>
        <xdr:cNvPr id="58" name="Picture 57" descr="SMK 8 ASLI.wmf">
          <a:extLst>
            <a:ext uri="{FF2B5EF4-FFF2-40B4-BE49-F238E27FC236}">
              <a16:creationId xmlns:a16="http://schemas.microsoft.com/office/drawing/2014/main" id="{5E32C06F-5A98-4F86-BFF7-237B1CAE2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185</xdr:row>
      <xdr:rowOff>9525</xdr:rowOff>
    </xdr:from>
    <xdr:ext cx="1" cy="381000"/>
    <xdr:pic>
      <xdr:nvPicPr>
        <xdr:cNvPr id="59" name="Picture 58" descr="SMK 8 ASLI.wmf">
          <a:extLst>
            <a:ext uri="{FF2B5EF4-FFF2-40B4-BE49-F238E27FC236}">
              <a16:creationId xmlns:a16="http://schemas.microsoft.com/office/drawing/2014/main" id="{B19A3EE0-986F-4F52-BAAE-0B64038FB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185</xdr:row>
      <xdr:rowOff>9525</xdr:rowOff>
    </xdr:from>
    <xdr:ext cx="1" cy="381000"/>
    <xdr:pic>
      <xdr:nvPicPr>
        <xdr:cNvPr id="60" name="Picture 59" descr="SMK 8 ASLI.wmf">
          <a:extLst>
            <a:ext uri="{FF2B5EF4-FFF2-40B4-BE49-F238E27FC236}">
              <a16:creationId xmlns:a16="http://schemas.microsoft.com/office/drawing/2014/main" id="{659E8B77-F446-4F24-88CD-AF28A4C17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3120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66675</xdr:colOff>
      <xdr:row>183</xdr:row>
      <xdr:rowOff>180975</xdr:rowOff>
    </xdr:from>
    <xdr:to>
      <xdr:col>3</xdr:col>
      <xdr:colOff>752475</xdr:colOff>
      <xdr:row>185</xdr:row>
      <xdr:rowOff>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47E3176-2D08-455F-A562-9F1C8227A098}"/>
            </a:ext>
          </a:extLst>
        </xdr:cNvPr>
        <xdr:cNvSpPr txBox="1"/>
      </xdr:nvSpPr>
      <xdr:spPr>
        <a:xfrm>
          <a:off x="1184275" y="2809875"/>
          <a:ext cx="15938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Abdul Hidir, S.T.</a:t>
          </a:r>
        </a:p>
      </xdr:txBody>
    </xdr:sp>
    <xdr:clientData/>
  </xdr:twoCellAnchor>
  <xdr:twoCellAnchor>
    <xdr:from>
      <xdr:col>0</xdr:col>
      <xdr:colOff>0</xdr:colOff>
      <xdr:row>255</xdr:row>
      <xdr:rowOff>125730</xdr:rowOff>
    </xdr:from>
    <xdr:to>
      <xdr:col>24</xdr:col>
      <xdr:colOff>57150</xdr:colOff>
      <xdr:row>262</xdr:row>
      <xdr:rowOff>106680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90E0C0B-1747-4F2D-815A-01B7D7AC7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41330"/>
          <a:ext cx="9566910" cy="126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271</xdr:row>
      <xdr:rowOff>9525</xdr:rowOff>
    </xdr:from>
    <xdr:to>
      <xdr:col>22</xdr:col>
      <xdr:colOff>1</xdr:colOff>
      <xdr:row>273</xdr:row>
      <xdr:rowOff>19050</xdr:rowOff>
    </xdr:to>
    <xdr:pic>
      <xdr:nvPicPr>
        <xdr:cNvPr id="63" name="Picture 62" descr="SMK 8 ASLI.wmf">
          <a:extLst>
            <a:ext uri="{FF2B5EF4-FFF2-40B4-BE49-F238E27FC236}">
              <a16:creationId xmlns:a16="http://schemas.microsoft.com/office/drawing/2014/main" id="{59D8FD46-0201-4B55-9C99-3827502AB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91500" y="26638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270</xdr:row>
      <xdr:rowOff>9525</xdr:rowOff>
    </xdr:from>
    <xdr:ext cx="1" cy="381000"/>
    <xdr:pic>
      <xdr:nvPicPr>
        <xdr:cNvPr id="64" name="Picture 63" descr="SMK 8 ASLI.wmf">
          <a:extLst>
            <a:ext uri="{FF2B5EF4-FFF2-40B4-BE49-F238E27FC236}">
              <a16:creationId xmlns:a16="http://schemas.microsoft.com/office/drawing/2014/main" id="{2B625216-8492-4DCE-AED2-7B5022BC8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91500" y="2466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271</xdr:row>
      <xdr:rowOff>0</xdr:rowOff>
    </xdr:from>
    <xdr:ext cx="4310" cy="390525"/>
    <xdr:pic>
      <xdr:nvPicPr>
        <xdr:cNvPr id="65" name="Picture 64" descr="SMK 8 ASLI.wmf">
          <a:extLst>
            <a:ext uri="{FF2B5EF4-FFF2-40B4-BE49-F238E27FC236}">
              <a16:creationId xmlns:a16="http://schemas.microsoft.com/office/drawing/2014/main" id="{95B7E9F7-E4EF-4D78-8EAD-49EAE49C2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72001" y="26543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270</xdr:row>
      <xdr:rowOff>9525</xdr:rowOff>
    </xdr:from>
    <xdr:ext cx="1" cy="381000"/>
    <xdr:pic>
      <xdr:nvPicPr>
        <xdr:cNvPr id="66" name="Picture 65" descr="SMK 8 ASLI.wmf">
          <a:extLst>
            <a:ext uri="{FF2B5EF4-FFF2-40B4-BE49-F238E27FC236}">
              <a16:creationId xmlns:a16="http://schemas.microsoft.com/office/drawing/2014/main" id="{E28FC653-5CCE-4F01-9C99-BCE9235F8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91500" y="2466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268</xdr:row>
      <xdr:rowOff>9525</xdr:rowOff>
    </xdr:from>
    <xdr:ext cx="1" cy="381000"/>
    <xdr:pic>
      <xdr:nvPicPr>
        <xdr:cNvPr id="67" name="Picture 66" descr="SMK 8 ASLI.wmf">
          <a:extLst>
            <a:ext uri="{FF2B5EF4-FFF2-40B4-BE49-F238E27FC236}">
              <a16:creationId xmlns:a16="http://schemas.microsoft.com/office/drawing/2014/main" id="{4588E8C3-3136-4FD8-831C-C100DD3A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91500" y="2270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270</xdr:row>
      <xdr:rowOff>0</xdr:rowOff>
    </xdr:from>
    <xdr:ext cx="4310" cy="390525"/>
    <xdr:pic>
      <xdr:nvPicPr>
        <xdr:cNvPr id="68" name="Picture 67" descr="SMK 8 ASLI.wmf">
          <a:extLst>
            <a:ext uri="{FF2B5EF4-FFF2-40B4-BE49-F238E27FC236}">
              <a16:creationId xmlns:a16="http://schemas.microsoft.com/office/drawing/2014/main" id="{39A3CC7B-3ECB-4DA4-878B-D9124AA1E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72001" y="2457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95250</xdr:colOff>
      <xdr:row>268</xdr:row>
      <xdr:rowOff>0</xdr:rowOff>
    </xdr:from>
    <xdr:to>
      <xdr:col>3</xdr:col>
      <xdr:colOff>704850</xdr:colOff>
      <xdr:row>270</xdr:row>
      <xdr:rowOff>123825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AAC1EB8-7107-423D-B192-FAC749D1BA0C}"/>
            </a:ext>
          </a:extLst>
        </xdr:cNvPr>
        <xdr:cNvSpPr txBox="1"/>
      </xdr:nvSpPr>
      <xdr:spPr>
        <a:xfrm>
          <a:off x="1111250" y="2260600"/>
          <a:ext cx="1504950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BENI SUTEJA, S.Pd</a:t>
          </a:r>
        </a:p>
      </xdr:txBody>
    </xdr:sp>
    <xdr:clientData/>
  </xdr:twoCellAnchor>
  <xdr:twoCellAnchor editAs="oneCell">
    <xdr:from>
      <xdr:col>22</xdr:col>
      <xdr:colOff>0</xdr:colOff>
      <xdr:row>344</xdr:row>
      <xdr:rowOff>0</xdr:rowOff>
    </xdr:from>
    <xdr:to>
      <xdr:col>22</xdr:col>
      <xdr:colOff>1</xdr:colOff>
      <xdr:row>346</xdr:row>
      <xdr:rowOff>1</xdr:rowOff>
    </xdr:to>
    <xdr:pic>
      <xdr:nvPicPr>
        <xdr:cNvPr id="70" name="Picture 69" descr="SMK 8 ASLI.wmf">
          <a:extLst>
            <a:ext uri="{FF2B5EF4-FFF2-40B4-BE49-F238E27FC236}">
              <a16:creationId xmlns:a16="http://schemas.microsoft.com/office/drawing/2014/main" id="{2D5DB763-DC36-4759-AC30-4883D50E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344</xdr:row>
      <xdr:rowOff>0</xdr:rowOff>
    </xdr:from>
    <xdr:ext cx="1" cy="381000"/>
    <xdr:pic>
      <xdr:nvPicPr>
        <xdr:cNvPr id="71" name="Picture 70" descr="SMK 8 ASLI.wmf">
          <a:extLst>
            <a:ext uri="{FF2B5EF4-FFF2-40B4-BE49-F238E27FC236}">
              <a16:creationId xmlns:a16="http://schemas.microsoft.com/office/drawing/2014/main" id="{0CECF1FF-47FE-4D04-97A8-103FEAA8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344</xdr:row>
      <xdr:rowOff>0</xdr:rowOff>
    </xdr:from>
    <xdr:ext cx="4310" cy="390525"/>
    <xdr:pic>
      <xdr:nvPicPr>
        <xdr:cNvPr id="72" name="Picture 71" descr="SMK 8 ASLI.wmf">
          <a:extLst>
            <a:ext uri="{FF2B5EF4-FFF2-40B4-BE49-F238E27FC236}">
              <a16:creationId xmlns:a16="http://schemas.microsoft.com/office/drawing/2014/main" id="{755BAD54-2CEE-4437-8318-C447FE4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847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357</xdr:row>
      <xdr:rowOff>9525</xdr:rowOff>
    </xdr:from>
    <xdr:ext cx="1" cy="381000"/>
    <xdr:pic>
      <xdr:nvPicPr>
        <xdr:cNvPr id="73" name="Picture 72" descr="SMK 8 ASLI.wmf">
          <a:extLst>
            <a:ext uri="{FF2B5EF4-FFF2-40B4-BE49-F238E27FC236}">
              <a16:creationId xmlns:a16="http://schemas.microsoft.com/office/drawing/2014/main" id="{3B5A82B6-D096-4BC3-8DEA-256BDB578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3203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356</xdr:row>
      <xdr:rowOff>9525</xdr:rowOff>
    </xdr:from>
    <xdr:ext cx="1" cy="381000"/>
    <xdr:pic>
      <xdr:nvPicPr>
        <xdr:cNvPr id="74" name="Picture 73" descr="SMK 8 ASLI.wmf">
          <a:extLst>
            <a:ext uri="{FF2B5EF4-FFF2-40B4-BE49-F238E27FC236}">
              <a16:creationId xmlns:a16="http://schemas.microsoft.com/office/drawing/2014/main" id="{7C04E237-6FFB-448A-B87F-09A87ED7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357</xdr:row>
      <xdr:rowOff>0</xdr:rowOff>
    </xdr:from>
    <xdr:ext cx="4310" cy="390525"/>
    <xdr:pic>
      <xdr:nvPicPr>
        <xdr:cNvPr id="75" name="Picture 74" descr="SMK 8 ASLI.wmf">
          <a:extLst>
            <a:ext uri="{FF2B5EF4-FFF2-40B4-BE49-F238E27FC236}">
              <a16:creationId xmlns:a16="http://schemas.microsoft.com/office/drawing/2014/main" id="{E1A3D612-B1A6-4503-86A1-90E4BFF0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84701" y="31940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38100</xdr:colOff>
      <xdr:row>339</xdr:row>
      <xdr:rowOff>161926</xdr:rowOff>
    </xdr:from>
    <xdr:to>
      <xdr:col>24</xdr:col>
      <xdr:colOff>95250</xdr:colOff>
      <xdr:row>347</xdr:row>
      <xdr:rowOff>114302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BEFE7D7-C607-4EF7-927A-EC7A4FC2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5084326"/>
          <a:ext cx="9566910" cy="1415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344</xdr:row>
      <xdr:rowOff>0</xdr:rowOff>
    </xdr:from>
    <xdr:ext cx="1" cy="381000"/>
    <xdr:pic>
      <xdr:nvPicPr>
        <xdr:cNvPr id="77" name="Picture 76" descr="SMK 8 ASLI.wmf">
          <a:extLst>
            <a:ext uri="{FF2B5EF4-FFF2-40B4-BE49-F238E27FC236}">
              <a16:creationId xmlns:a16="http://schemas.microsoft.com/office/drawing/2014/main" id="{CFC4F90A-6AC7-4BA9-94F3-EF4DD08E0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344</xdr:row>
      <xdr:rowOff>0</xdr:rowOff>
    </xdr:from>
    <xdr:ext cx="1" cy="381000"/>
    <xdr:pic>
      <xdr:nvPicPr>
        <xdr:cNvPr id="78" name="Picture 77" descr="SMK 8 ASLI.wmf">
          <a:extLst>
            <a:ext uri="{FF2B5EF4-FFF2-40B4-BE49-F238E27FC236}">
              <a16:creationId xmlns:a16="http://schemas.microsoft.com/office/drawing/2014/main" id="{08C8749D-4A3F-4923-B85B-53AD2B4F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344</xdr:row>
      <xdr:rowOff>0</xdr:rowOff>
    </xdr:from>
    <xdr:ext cx="4310" cy="390525"/>
    <xdr:pic>
      <xdr:nvPicPr>
        <xdr:cNvPr id="79" name="Picture 78" descr="SMK 8 ASLI.wmf">
          <a:extLst>
            <a:ext uri="{FF2B5EF4-FFF2-40B4-BE49-F238E27FC236}">
              <a16:creationId xmlns:a16="http://schemas.microsoft.com/office/drawing/2014/main" id="{FF499D0D-511A-45CF-B8CD-24B32E497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847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357</xdr:row>
      <xdr:rowOff>9525</xdr:rowOff>
    </xdr:from>
    <xdr:ext cx="1" cy="381000"/>
    <xdr:pic>
      <xdr:nvPicPr>
        <xdr:cNvPr id="80" name="Picture 79" descr="SMK 8 ASLI.wmf">
          <a:extLst>
            <a:ext uri="{FF2B5EF4-FFF2-40B4-BE49-F238E27FC236}">
              <a16:creationId xmlns:a16="http://schemas.microsoft.com/office/drawing/2014/main" id="{EFD76A5C-B785-4A3F-8C76-468472D4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3203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356</xdr:row>
      <xdr:rowOff>9525</xdr:rowOff>
    </xdr:from>
    <xdr:ext cx="1" cy="381000"/>
    <xdr:pic>
      <xdr:nvPicPr>
        <xdr:cNvPr id="81" name="Picture 80" descr="SMK 8 ASLI.wmf">
          <a:extLst>
            <a:ext uri="{FF2B5EF4-FFF2-40B4-BE49-F238E27FC236}">
              <a16:creationId xmlns:a16="http://schemas.microsoft.com/office/drawing/2014/main" id="{3DE82A14-987D-4522-894A-CB62D1DEA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357</xdr:row>
      <xdr:rowOff>0</xdr:rowOff>
    </xdr:from>
    <xdr:ext cx="4310" cy="390525"/>
    <xdr:pic>
      <xdr:nvPicPr>
        <xdr:cNvPr id="82" name="Picture 81" descr="SMK 8 ASLI.wmf">
          <a:extLst>
            <a:ext uri="{FF2B5EF4-FFF2-40B4-BE49-F238E27FC236}">
              <a16:creationId xmlns:a16="http://schemas.microsoft.com/office/drawing/2014/main" id="{AC7FD47A-7FB5-43D9-9201-C9F81C4BE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84701" y="31940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356</xdr:row>
      <xdr:rowOff>9525</xdr:rowOff>
    </xdr:from>
    <xdr:ext cx="1" cy="381000"/>
    <xdr:pic>
      <xdr:nvPicPr>
        <xdr:cNvPr id="83" name="Picture 82" descr="SMK 8 ASLI.wmf">
          <a:extLst>
            <a:ext uri="{FF2B5EF4-FFF2-40B4-BE49-F238E27FC236}">
              <a16:creationId xmlns:a16="http://schemas.microsoft.com/office/drawing/2014/main" id="{B1E0A74F-1B58-42E1-A05E-4ECD33F33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355</xdr:row>
      <xdr:rowOff>9525</xdr:rowOff>
    </xdr:from>
    <xdr:ext cx="1" cy="381000"/>
    <xdr:pic>
      <xdr:nvPicPr>
        <xdr:cNvPr id="84" name="Picture 83" descr="SMK 8 ASLI.wmf">
          <a:extLst>
            <a:ext uri="{FF2B5EF4-FFF2-40B4-BE49-F238E27FC236}">
              <a16:creationId xmlns:a16="http://schemas.microsoft.com/office/drawing/2014/main" id="{CD98F04B-1E2F-4E64-BA61-DA1884C58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994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356</xdr:row>
      <xdr:rowOff>0</xdr:rowOff>
    </xdr:from>
    <xdr:ext cx="4310" cy="390525"/>
    <xdr:pic>
      <xdr:nvPicPr>
        <xdr:cNvPr id="85" name="Picture 84" descr="SMK 8 ASLI.wmf">
          <a:extLst>
            <a:ext uri="{FF2B5EF4-FFF2-40B4-BE49-F238E27FC236}">
              <a16:creationId xmlns:a16="http://schemas.microsoft.com/office/drawing/2014/main" id="{049078E0-8833-44C9-938E-A87DD83F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847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81915</xdr:colOff>
      <xdr:row>353</xdr:row>
      <xdr:rowOff>196215</xdr:rowOff>
    </xdr:from>
    <xdr:to>
      <xdr:col>3</xdr:col>
      <xdr:colOff>845820</xdr:colOff>
      <xdr:row>355</xdr:row>
      <xdr:rowOff>129540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A59DF86-861E-4082-A44C-1CEEF2C0A5BE}"/>
            </a:ext>
          </a:extLst>
        </xdr:cNvPr>
        <xdr:cNvSpPr txBox="1"/>
      </xdr:nvSpPr>
      <xdr:spPr>
        <a:xfrm>
          <a:off x="1202055" y="68090415"/>
          <a:ext cx="172402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Agus Sobarudin, S.Pd.</a:t>
          </a:r>
        </a:p>
      </xdr:txBody>
    </xdr:sp>
    <xdr:clientData/>
  </xdr:twoCellAnchor>
  <xdr:twoCellAnchor editAs="oneCell">
    <xdr:from>
      <xdr:col>22</xdr:col>
      <xdr:colOff>0</xdr:colOff>
      <xdr:row>424</xdr:row>
      <xdr:rowOff>0</xdr:rowOff>
    </xdr:from>
    <xdr:to>
      <xdr:col>22</xdr:col>
      <xdr:colOff>1</xdr:colOff>
      <xdr:row>426</xdr:row>
      <xdr:rowOff>9525</xdr:rowOff>
    </xdr:to>
    <xdr:pic>
      <xdr:nvPicPr>
        <xdr:cNvPr id="87" name="Picture 86" descr="SMK 8 ASLI.wmf">
          <a:extLst>
            <a:ext uri="{FF2B5EF4-FFF2-40B4-BE49-F238E27FC236}">
              <a16:creationId xmlns:a16="http://schemas.microsoft.com/office/drawing/2014/main" id="{73649D31-375A-467E-A14A-DE601EB95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424</xdr:row>
      <xdr:rowOff>0</xdr:rowOff>
    </xdr:from>
    <xdr:ext cx="1" cy="381000"/>
    <xdr:pic>
      <xdr:nvPicPr>
        <xdr:cNvPr id="88" name="Picture 87" descr="SMK 8 ASLI.wmf">
          <a:extLst>
            <a:ext uri="{FF2B5EF4-FFF2-40B4-BE49-F238E27FC236}">
              <a16:creationId xmlns:a16="http://schemas.microsoft.com/office/drawing/2014/main" id="{BA0FDA0E-BCFF-40EF-B148-145762409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424</xdr:row>
      <xdr:rowOff>0</xdr:rowOff>
    </xdr:from>
    <xdr:ext cx="4310" cy="390525"/>
    <xdr:pic>
      <xdr:nvPicPr>
        <xdr:cNvPr id="89" name="Picture 88" descr="SMK 8 ASLI.wmf">
          <a:extLst>
            <a:ext uri="{FF2B5EF4-FFF2-40B4-BE49-F238E27FC236}">
              <a16:creationId xmlns:a16="http://schemas.microsoft.com/office/drawing/2014/main" id="{64B9C3F6-7A62-44D3-B94C-BA3378E2C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90" name="Picture 89" descr="SMK 8 ASLI.wmf">
          <a:extLst>
            <a:ext uri="{FF2B5EF4-FFF2-40B4-BE49-F238E27FC236}">
              <a16:creationId xmlns:a16="http://schemas.microsoft.com/office/drawing/2014/main" id="{29EA07A6-D9CE-4E7E-B173-294EF9850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91" name="Picture 90" descr="SMK 8 ASLI.wmf">
          <a:extLst>
            <a:ext uri="{FF2B5EF4-FFF2-40B4-BE49-F238E27FC236}">
              <a16:creationId xmlns:a16="http://schemas.microsoft.com/office/drawing/2014/main" id="{E642A1F8-531E-4BEE-ACF9-C685FB1A4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424</xdr:row>
      <xdr:rowOff>0</xdr:rowOff>
    </xdr:from>
    <xdr:ext cx="4310" cy="390525"/>
    <xdr:pic>
      <xdr:nvPicPr>
        <xdr:cNvPr id="92" name="Picture 91" descr="SMK 8 ASLI.wmf">
          <a:extLst>
            <a:ext uri="{FF2B5EF4-FFF2-40B4-BE49-F238E27FC236}">
              <a16:creationId xmlns:a16="http://schemas.microsoft.com/office/drawing/2014/main" id="{7A328FF5-36DB-4CDB-B51B-F34E08F08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442</xdr:row>
      <xdr:rowOff>9525</xdr:rowOff>
    </xdr:from>
    <xdr:ext cx="1" cy="381000"/>
    <xdr:pic>
      <xdr:nvPicPr>
        <xdr:cNvPr id="93" name="Picture 92" descr="SMK 8 ASLI.wmf">
          <a:extLst>
            <a:ext uri="{FF2B5EF4-FFF2-40B4-BE49-F238E27FC236}">
              <a16:creationId xmlns:a16="http://schemas.microsoft.com/office/drawing/2014/main" id="{DFDC8429-8732-41A9-954C-2E86D5DE2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440</xdr:row>
      <xdr:rowOff>9525</xdr:rowOff>
    </xdr:from>
    <xdr:ext cx="1" cy="381000"/>
    <xdr:pic>
      <xdr:nvPicPr>
        <xdr:cNvPr id="94" name="Picture 93" descr="SMK 8 ASLI.wmf">
          <a:extLst>
            <a:ext uri="{FF2B5EF4-FFF2-40B4-BE49-F238E27FC236}">
              <a16:creationId xmlns:a16="http://schemas.microsoft.com/office/drawing/2014/main" id="{11E643CE-7B20-478E-A18C-43612C1AB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442</xdr:row>
      <xdr:rowOff>0</xdr:rowOff>
    </xdr:from>
    <xdr:ext cx="4310" cy="390525"/>
    <xdr:pic>
      <xdr:nvPicPr>
        <xdr:cNvPr id="95" name="Picture 94" descr="SMK 8 ASLI.wmf">
          <a:extLst>
            <a:ext uri="{FF2B5EF4-FFF2-40B4-BE49-F238E27FC236}">
              <a16:creationId xmlns:a16="http://schemas.microsoft.com/office/drawing/2014/main" id="{E55E80CF-21B6-4983-9857-5F7899738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54428</xdr:colOff>
      <xdr:row>426</xdr:row>
      <xdr:rowOff>32386</xdr:rowOff>
    </xdr:from>
    <xdr:to>
      <xdr:col>24</xdr:col>
      <xdr:colOff>111578</xdr:colOff>
      <xdr:row>433</xdr:row>
      <xdr:rowOff>70487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62AE199-0BDC-410C-A4F2-371464CCE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" y="81435757"/>
          <a:ext cx="9473293" cy="1333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424</xdr:row>
      <xdr:rowOff>0</xdr:rowOff>
    </xdr:from>
    <xdr:ext cx="1" cy="381000"/>
    <xdr:pic>
      <xdr:nvPicPr>
        <xdr:cNvPr id="97" name="Picture 96" descr="SMK 8 ASLI.wmf">
          <a:extLst>
            <a:ext uri="{FF2B5EF4-FFF2-40B4-BE49-F238E27FC236}">
              <a16:creationId xmlns:a16="http://schemas.microsoft.com/office/drawing/2014/main" id="{7CFE3CAD-AC25-48C8-93B8-497FFA99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98" name="Picture 97" descr="SMK 8 ASLI.wmf">
          <a:extLst>
            <a:ext uri="{FF2B5EF4-FFF2-40B4-BE49-F238E27FC236}">
              <a16:creationId xmlns:a16="http://schemas.microsoft.com/office/drawing/2014/main" id="{8616B47F-D4AF-4C25-8D6F-3392F473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424</xdr:row>
      <xdr:rowOff>0</xdr:rowOff>
    </xdr:from>
    <xdr:ext cx="4310" cy="390525"/>
    <xdr:pic>
      <xdr:nvPicPr>
        <xdr:cNvPr id="99" name="Picture 98" descr="SMK 8 ASLI.wmf">
          <a:extLst>
            <a:ext uri="{FF2B5EF4-FFF2-40B4-BE49-F238E27FC236}">
              <a16:creationId xmlns:a16="http://schemas.microsoft.com/office/drawing/2014/main" id="{2AD0BE9E-DE1E-47FC-A36F-3E346B1B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100" name="Picture 99" descr="SMK 8 ASLI.wmf">
          <a:extLst>
            <a:ext uri="{FF2B5EF4-FFF2-40B4-BE49-F238E27FC236}">
              <a16:creationId xmlns:a16="http://schemas.microsoft.com/office/drawing/2014/main" id="{110D3E26-CA3B-4044-AA9A-261BC038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101" name="Picture 100" descr="SMK 8 ASLI.wmf">
          <a:extLst>
            <a:ext uri="{FF2B5EF4-FFF2-40B4-BE49-F238E27FC236}">
              <a16:creationId xmlns:a16="http://schemas.microsoft.com/office/drawing/2014/main" id="{5F8FD69A-5B0D-4384-8D56-24AD41B0E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424</xdr:row>
      <xdr:rowOff>0</xdr:rowOff>
    </xdr:from>
    <xdr:ext cx="4310" cy="390525"/>
    <xdr:pic>
      <xdr:nvPicPr>
        <xdr:cNvPr id="102" name="Picture 101" descr="SMK 8 ASLI.wmf">
          <a:extLst>
            <a:ext uri="{FF2B5EF4-FFF2-40B4-BE49-F238E27FC236}">
              <a16:creationId xmlns:a16="http://schemas.microsoft.com/office/drawing/2014/main" id="{66F378DD-F579-4158-B3C8-0BA1A6988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103" name="Picture 102" descr="SMK 8 ASLI.wmf">
          <a:extLst>
            <a:ext uri="{FF2B5EF4-FFF2-40B4-BE49-F238E27FC236}">
              <a16:creationId xmlns:a16="http://schemas.microsoft.com/office/drawing/2014/main" id="{551A719C-A31D-49A6-8BD4-E81FB86A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424</xdr:row>
      <xdr:rowOff>0</xdr:rowOff>
    </xdr:from>
    <xdr:ext cx="1" cy="381000"/>
    <xdr:pic>
      <xdr:nvPicPr>
        <xdr:cNvPr id="104" name="Picture 103" descr="SMK 8 ASLI.wmf">
          <a:extLst>
            <a:ext uri="{FF2B5EF4-FFF2-40B4-BE49-F238E27FC236}">
              <a16:creationId xmlns:a16="http://schemas.microsoft.com/office/drawing/2014/main" id="{1350A05B-BD1F-4F15-81A5-F59C473C4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424</xdr:row>
      <xdr:rowOff>0</xdr:rowOff>
    </xdr:from>
    <xdr:ext cx="4310" cy="390525"/>
    <xdr:pic>
      <xdr:nvPicPr>
        <xdr:cNvPr id="105" name="Picture 104" descr="SMK 8 ASLI.wmf">
          <a:extLst>
            <a:ext uri="{FF2B5EF4-FFF2-40B4-BE49-F238E27FC236}">
              <a16:creationId xmlns:a16="http://schemas.microsoft.com/office/drawing/2014/main" id="{9C69CE14-04B5-453A-B6AC-D8C0FCD33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440</xdr:row>
      <xdr:rowOff>9525</xdr:rowOff>
    </xdr:from>
    <xdr:ext cx="1" cy="381000"/>
    <xdr:pic>
      <xdr:nvPicPr>
        <xdr:cNvPr id="106" name="Picture 105" descr="SMK 8 ASLI.wmf">
          <a:extLst>
            <a:ext uri="{FF2B5EF4-FFF2-40B4-BE49-F238E27FC236}">
              <a16:creationId xmlns:a16="http://schemas.microsoft.com/office/drawing/2014/main" id="{67754EE9-BF17-43F5-B099-D6AB35DDD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440</xdr:row>
      <xdr:rowOff>9525</xdr:rowOff>
    </xdr:from>
    <xdr:ext cx="1" cy="381000"/>
    <xdr:pic>
      <xdr:nvPicPr>
        <xdr:cNvPr id="107" name="Picture 106" descr="SMK 8 ASLI.wmf">
          <a:extLst>
            <a:ext uri="{FF2B5EF4-FFF2-40B4-BE49-F238E27FC236}">
              <a16:creationId xmlns:a16="http://schemas.microsoft.com/office/drawing/2014/main" id="{E23318ED-A145-4853-99D3-3203550CE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440</xdr:row>
      <xdr:rowOff>9525</xdr:rowOff>
    </xdr:from>
    <xdr:ext cx="1" cy="381000"/>
    <xdr:pic>
      <xdr:nvPicPr>
        <xdr:cNvPr id="108" name="Picture 107" descr="SMK 8 ASLI.wmf">
          <a:extLst>
            <a:ext uri="{FF2B5EF4-FFF2-40B4-BE49-F238E27FC236}">
              <a16:creationId xmlns:a16="http://schemas.microsoft.com/office/drawing/2014/main" id="{59803574-5FA0-4E4E-BDCA-CF16CF7C1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439</xdr:row>
      <xdr:rowOff>9525</xdr:rowOff>
    </xdr:from>
    <xdr:ext cx="1" cy="381000"/>
    <xdr:pic>
      <xdr:nvPicPr>
        <xdr:cNvPr id="109" name="Picture 108" descr="SMK 8 ASLI.wmf">
          <a:extLst>
            <a:ext uri="{FF2B5EF4-FFF2-40B4-BE49-F238E27FC236}">
              <a16:creationId xmlns:a16="http://schemas.microsoft.com/office/drawing/2014/main" id="{760DD622-AE3D-47DF-882A-0F142B27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12150" y="2638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440</xdr:row>
      <xdr:rowOff>0</xdr:rowOff>
    </xdr:from>
    <xdr:ext cx="4310" cy="390525"/>
    <xdr:pic>
      <xdr:nvPicPr>
        <xdr:cNvPr id="110" name="Picture 109" descr="SMK 8 ASLI.wmf">
          <a:extLst>
            <a:ext uri="{FF2B5EF4-FFF2-40B4-BE49-F238E27FC236}">
              <a16:creationId xmlns:a16="http://schemas.microsoft.com/office/drawing/2014/main" id="{E829CBAE-A34D-403C-90F2-482270721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97401" y="28257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57150</xdr:colOff>
      <xdr:row>438</xdr:row>
      <xdr:rowOff>171450</xdr:rowOff>
    </xdr:from>
    <xdr:to>
      <xdr:col>3</xdr:col>
      <xdr:colOff>619125</xdr:colOff>
      <xdr:row>440</xdr:row>
      <xdr:rowOff>104775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0B61210-1E92-45CF-8A79-BDCF7CC80A45}"/>
            </a:ext>
          </a:extLst>
        </xdr:cNvPr>
        <xdr:cNvSpPr txBox="1"/>
      </xdr:nvSpPr>
      <xdr:spPr>
        <a:xfrm>
          <a:off x="1060450" y="2616200"/>
          <a:ext cx="148272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Cicah Cuticah, S.Pd.</a:t>
          </a:r>
        </a:p>
      </xdr:txBody>
    </xdr:sp>
    <xdr:clientData/>
  </xdr:twoCellAnchor>
  <xdr:twoCellAnchor>
    <xdr:from>
      <xdr:col>0</xdr:col>
      <xdr:colOff>90351</xdr:colOff>
      <xdr:row>510</xdr:row>
      <xdr:rowOff>25038</xdr:rowOff>
    </xdr:from>
    <xdr:to>
      <xdr:col>24</xdr:col>
      <xdr:colOff>147501</xdr:colOff>
      <xdr:row>516</xdr:row>
      <xdr:rowOff>47898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197938CC-6C3F-4095-AB9B-7B9F6CE6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51" y="97561038"/>
          <a:ext cx="9473293" cy="1133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524</xdr:row>
      <xdr:rowOff>9525</xdr:rowOff>
    </xdr:from>
    <xdr:to>
      <xdr:col>22</xdr:col>
      <xdr:colOff>1</xdr:colOff>
      <xdr:row>526</xdr:row>
      <xdr:rowOff>19050</xdr:rowOff>
    </xdr:to>
    <xdr:pic>
      <xdr:nvPicPr>
        <xdr:cNvPr id="113" name="Picture 112" descr="SMK 8 ASLI.wmf">
          <a:extLst>
            <a:ext uri="{FF2B5EF4-FFF2-40B4-BE49-F238E27FC236}">
              <a16:creationId xmlns:a16="http://schemas.microsoft.com/office/drawing/2014/main" id="{E1350F5A-3D07-47ED-88DA-E99E19D74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85150" y="247967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522</xdr:row>
      <xdr:rowOff>9525</xdr:rowOff>
    </xdr:from>
    <xdr:ext cx="1" cy="381000"/>
    <xdr:pic>
      <xdr:nvPicPr>
        <xdr:cNvPr id="114" name="Picture 113" descr="SMK 8 ASLI.wmf">
          <a:extLst>
            <a:ext uri="{FF2B5EF4-FFF2-40B4-BE49-F238E27FC236}">
              <a16:creationId xmlns:a16="http://schemas.microsoft.com/office/drawing/2014/main" id="{3C3B383B-03C7-491A-BEFB-047F0EEB2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85150" y="22828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524</xdr:row>
      <xdr:rowOff>0</xdr:rowOff>
    </xdr:from>
    <xdr:ext cx="4310" cy="390525"/>
    <xdr:pic>
      <xdr:nvPicPr>
        <xdr:cNvPr id="115" name="Picture 114" descr="SMK 8 ASLI.wmf">
          <a:extLst>
            <a:ext uri="{FF2B5EF4-FFF2-40B4-BE49-F238E27FC236}">
              <a16:creationId xmlns:a16="http://schemas.microsoft.com/office/drawing/2014/main" id="{5DDC56D5-2E9B-4D5C-902F-59A4A7D7E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470401" y="24701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595</xdr:row>
      <xdr:rowOff>0</xdr:rowOff>
    </xdr:from>
    <xdr:to>
      <xdr:col>22</xdr:col>
      <xdr:colOff>1</xdr:colOff>
      <xdr:row>597</xdr:row>
      <xdr:rowOff>1</xdr:rowOff>
    </xdr:to>
    <xdr:pic>
      <xdr:nvPicPr>
        <xdr:cNvPr id="116" name="Picture 115" descr="SMK 8 ASLI.wmf">
          <a:extLst>
            <a:ext uri="{FF2B5EF4-FFF2-40B4-BE49-F238E27FC236}">
              <a16:creationId xmlns:a16="http://schemas.microsoft.com/office/drawing/2014/main" id="{6A9083EC-FFBD-4617-8B4A-BA168B083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770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595</xdr:row>
      <xdr:rowOff>0</xdr:rowOff>
    </xdr:from>
    <xdr:ext cx="1" cy="381000"/>
    <xdr:pic>
      <xdr:nvPicPr>
        <xdr:cNvPr id="117" name="Picture 116" descr="SMK 8 ASLI.wmf">
          <a:extLst>
            <a:ext uri="{FF2B5EF4-FFF2-40B4-BE49-F238E27FC236}">
              <a16:creationId xmlns:a16="http://schemas.microsoft.com/office/drawing/2014/main" id="{5519E71C-F365-4D90-99EE-EB888ACF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7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595</xdr:row>
      <xdr:rowOff>0</xdr:rowOff>
    </xdr:from>
    <xdr:ext cx="4310" cy="390525"/>
    <xdr:pic>
      <xdr:nvPicPr>
        <xdr:cNvPr id="118" name="Picture 117" descr="SMK 8 ASLI.wmf">
          <a:extLst>
            <a:ext uri="{FF2B5EF4-FFF2-40B4-BE49-F238E27FC236}">
              <a16:creationId xmlns:a16="http://schemas.microsoft.com/office/drawing/2014/main" id="{4EEFCC58-B102-4260-B1A1-E3642315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529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609</xdr:row>
      <xdr:rowOff>9525</xdr:rowOff>
    </xdr:from>
    <xdr:ext cx="1" cy="381000"/>
    <xdr:pic>
      <xdr:nvPicPr>
        <xdr:cNvPr id="119" name="Picture 118" descr="SMK 8 ASLI.wmf">
          <a:extLst>
            <a:ext uri="{FF2B5EF4-FFF2-40B4-BE49-F238E27FC236}">
              <a16:creationId xmlns:a16="http://schemas.microsoft.com/office/drawing/2014/main" id="{2EB30D60-C6DC-4C7B-905D-0833E66D0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77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608</xdr:row>
      <xdr:rowOff>9525</xdr:rowOff>
    </xdr:from>
    <xdr:ext cx="1" cy="381000"/>
    <xdr:pic>
      <xdr:nvPicPr>
        <xdr:cNvPr id="120" name="Picture 119" descr="SMK 8 ASLI.wmf">
          <a:extLst>
            <a:ext uri="{FF2B5EF4-FFF2-40B4-BE49-F238E27FC236}">
              <a16:creationId xmlns:a16="http://schemas.microsoft.com/office/drawing/2014/main" id="{DACF623D-43DD-41C3-84A5-1CD64F8B0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770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609</xdr:row>
      <xdr:rowOff>0</xdr:rowOff>
    </xdr:from>
    <xdr:ext cx="4310" cy="390525"/>
    <xdr:pic>
      <xdr:nvPicPr>
        <xdr:cNvPr id="121" name="Picture 120" descr="SMK 8 ASLI.wmf">
          <a:extLst>
            <a:ext uri="{FF2B5EF4-FFF2-40B4-BE49-F238E27FC236}">
              <a16:creationId xmlns:a16="http://schemas.microsoft.com/office/drawing/2014/main" id="{533F31DA-FFB7-42F8-A8B1-BC02000D1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5295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72661</xdr:colOff>
      <xdr:row>593</xdr:row>
      <xdr:rowOff>139337</xdr:rowOff>
    </xdr:from>
    <xdr:to>
      <xdr:col>23</xdr:col>
      <xdr:colOff>101237</xdr:colOff>
      <xdr:row>600</xdr:row>
      <xdr:rowOff>110763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FB4DCE2-D7B5-407E-B040-D4FDC5F2B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32" y="113524937"/>
          <a:ext cx="8954862" cy="1266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609</xdr:row>
      <xdr:rowOff>9525</xdr:rowOff>
    </xdr:from>
    <xdr:ext cx="1" cy="381000"/>
    <xdr:pic>
      <xdr:nvPicPr>
        <xdr:cNvPr id="123" name="Picture 122" descr="SMK 8 ASLI.wmf">
          <a:extLst>
            <a:ext uri="{FF2B5EF4-FFF2-40B4-BE49-F238E27FC236}">
              <a16:creationId xmlns:a16="http://schemas.microsoft.com/office/drawing/2014/main" id="{CCF59936-3347-4CC3-A628-85326AD0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77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608</xdr:row>
      <xdr:rowOff>9525</xdr:rowOff>
    </xdr:from>
    <xdr:ext cx="1" cy="381000"/>
    <xdr:pic>
      <xdr:nvPicPr>
        <xdr:cNvPr id="124" name="Picture 123" descr="SMK 8 ASLI.wmf">
          <a:extLst>
            <a:ext uri="{FF2B5EF4-FFF2-40B4-BE49-F238E27FC236}">
              <a16:creationId xmlns:a16="http://schemas.microsoft.com/office/drawing/2014/main" id="{8727A02C-BE97-4D06-A62B-44D12F2A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6770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609</xdr:row>
      <xdr:rowOff>0</xdr:rowOff>
    </xdr:from>
    <xdr:ext cx="4310" cy="390525"/>
    <xdr:pic>
      <xdr:nvPicPr>
        <xdr:cNvPr id="125" name="Picture 124" descr="SMK 8 ASLI.wmf">
          <a:extLst>
            <a:ext uri="{FF2B5EF4-FFF2-40B4-BE49-F238E27FC236}">
              <a16:creationId xmlns:a16="http://schemas.microsoft.com/office/drawing/2014/main" id="{AC1F4F97-21E7-4213-BAC1-AFE3DD548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5295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114300</xdr:colOff>
      <xdr:row>606</xdr:row>
      <xdr:rowOff>0</xdr:rowOff>
    </xdr:from>
    <xdr:to>
      <xdr:col>3</xdr:col>
      <xdr:colOff>1571625</xdr:colOff>
      <xdr:row>607</xdr:row>
      <xdr:rowOff>123825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5BB162C-2A7C-4877-8476-5182600B170F}"/>
            </a:ext>
          </a:extLst>
        </xdr:cNvPr>
        <xdr:cNvSpPr txBox="1"/>
      </xdr:nvSpPr>
      <xdr:spPr>
        <a:xfrm>
          <a:off x="1174750" y="2628900"/>
          <a:ext cx="2365375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1100" b="1"/>
            <a:t>Elis Selin Resiana Wulandari, S.Pd.</a:t>
          </a:r>
        </a:p>
      </xdr:txBody>
    </xdr:sp>
    <xdr:clientData/>
  </xdr:twoCellAnchor>
  <xdr:twoCellAnchor editAs="oneCell">
    <xdr:from>
      <xdr:col>22</xdr:col>
      <xdr:colOff>0</xdr:colOff>
      <xdr:row>682</xdr:row>
      <xdr:rowOff>0</xdr:rowOff>
    </xdr:from>
    <xdr:to>
      <xdr:col>22</xdr:col>
      <xdr:colOff>1</xdr:colOff>
      <xdr:row>684</xdr:row>
      <xdr:rowOff>-1</xdr:rowOff>
    </xdr:to>
    <xdr:pic>
      <xdr:nvPicPr>
        <xdr:cNvPr id="127" name="Picture 126" descr="SMK 8 ASLI.wmf">
          <a:extLst>
            <a:ext uri="{FF2B5EF4-FFF2-40B4-BE49-F238E27FC236}">
              <a16:creationId xmlns:a16="http://schemas.microsoft.com/office/drawing/2014/main" id="{971E7E68-317E-481D-ADF3-BFD3FFD79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682</xdr:row>
      <xdr:rowOff>0</xdr:rowOff>
    </xdr:from>
    <xdr:ext cx="1" cy="381000"/>
    <xdr:pic>
      <xdr:nvPicPr>
        <xdr:cNvPr id="128" name="Picture 127" descr="SMK 8 ASLI.wmf">
          <a:extLst>
            <a:ext uri="{FF2B5EF4-FFF2-40B4-BE49-F238E27FC236}">
              <a16:creationId xmlns:a16="http://schemas.microsoft.com/office/drawing/2014/main" id="{C3B42D65-D3DD-4EDF-B383-8B4CA731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682</xdr:row>
      <xdr:rowOff>0</xdr:rowOff>
    </xdr:from>
    <xdr:ext cx="4310" cy="390525"/>
    <xdr:pic>
      <xdr:nvPicPr>
        <xdr:cNvPr id="129" name="Picture 128" descr="SMK 8 ASLI.wmf">
          <a:extLst>
            <a:ext uri="{FF2B5EF4-FFF2-40B4-BE49-F238E27FC236}">
              <a16:creationId xmlns:a16="http://schemas.microsoft.com/office/drawing/2014/main" id="{0A45C358-9555-4BED-947A-5A43B08AC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682</xdr:row>
      <xdr:rowOff>0</xdr:rowOff>
    </xdr:from>
    <xdr:ext cx="1" cy="381000"/>
    <xdr:pic>
      <xdr:nvPicPr>
        <xdr:cNvPr id="130" name="Picture 129" descr="SMK 8 ASLI.wmf">
          <a:extLst>
            <a:ext uri="{FF2B5EF4-FFF2-40B4-BE49-F238E27FC236}">
              <a16:creationId xmlns:a16="http://schemas.microsoft.com/office/drawing/2014/main" id="{F32DF7C7-D32D-4AD2-B67A-EF6BF738B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682</xdr:row>
      <xdr:rowOff>0</xdr:rowOff>
    </xdr:from>
    <xdr:ext cx="1" cy="381000"/>
    <xdr:pic>
      <xdr:nvPicPr>
        <xdr:cNvPr id="131" name="Picture 130" descr="SMK 8 ASLI.wmf">
          <a:extLst>
            <a:ext uri="{FF2B5EF4-FFF2-40B4-BE49-F238E27FC236}">
              <a16:creationId xmlns:a16="http://schemas.microsoft.com/office/drawing/2014/main" id="{C6A91444-D142-432E-9E98-4630D151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682</xdr:row>
      <xdr:rowOff>0</xdr:rowOff>
    </xdr:from>
    <xdr:ext cx="4310" cy="390525"/>
    <xdr:pic>
      <xdr:nvPicPr>
        <xdr:cNvPr id="132" name="Picture 131" descr="SMK 8 ASLI.wmf">
          <a:extLst>
            <a:ext uri="{FF2B5EF4-FFF2-40B4-BE49-F238E27FC236}">
              <a16:creationId xmlns:a16="http://schemas.microsoft.com/office/drawing/2014/main" id="{0FA3504B-8C3A-4D31-8105-F7E57379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695</xdr:row>
      <xdr:rowOff>9525</xdr:rowOff>
    </xdr:from>
    <xdr:ext cx="1" cy="381000"/>
    <xdr:pic>
      <xdr:nvPicPr>
        <xdr:cNvPr id="133" name="Picture 132" descr="SMK 8 ASLI.wmf">
          <a:extLst>
            <a:ext uri="{FF2B5EF4-FFF2-40B4-BE49-F238E27FC236}">
              <a16:creationId xmlns:a16="http://schemas.microsoft.com/office/drawing/2014/main" id="{07E4F19D-41F4-4DB7-87E7-4E6562001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2638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694</xdr:row>
      <xdr:rowOff>9525</xdr:rowOff>
    </xdr:from>
    <xdr:ext cx="1" cy="381000"/>
    <xdr:pic>
      <xdr:nvPicPr>
        <xdr:cNvPr id="134" name="Picture 133" descr="SMK 8 ASLI.wmf">
          <a:extLst>
            <a:ext uri="{FF2B5EF4-FFF2-40B4-BE49-F238E27FC236}">
              <a16:creationId xmlns:a16="http://schemas.microsoft.com/office/drawing/2014/main" id="{1BEE722F-7384-4958-8424-1F39E7A1E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2454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695</xdr:row>
      <xdr:rowOff>0</xdr:rowOff>
    </xdr:from>
    <xdr:ext cx="4310" cy="390525"/>
    <xdr:pic>
      <xdr:nvPicPr>
        <xdr:cNvPr id="135" name="Picture 134" descr="SMK 8 ASLI.wmf">
          <a:extLst>
            <a:ext uri="{FF2B5EF4-FFF2-40B4-BE49-F238E27FC236}">
              <a16:creationId xmlns:a16="http://schemas.microsoft.com/office/drawing/2014/main" id="{E9450054-D682-4211-9D89-C445754FE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2628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53340</xdr:colOff>
      <xdr:row>679</xdr:row>
      <xdr:rowOff>103505</xdr:rowOff>
    </xdr:from>
    <xdr:to>
      <xdr:col>24</xdr:col>
      <xdr:colOff>110490</xdr:colOff>
      <xdr:row>686</xdr:row>
      <xdr:rowOff>83820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9DFDD0F-5F71-45BF-97ED-1043506FF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30085465"/>
          <a:ext cx="9566910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682</xdr:row>
      <xdr:rowOff>0</xdr:rowOff>
    </xdr:from>
    <xdr:ext cx="1" cy="381000"/>
    <xdr:pic>
      <xdr:nvPicPr>
        <xdr:cNvPr id="137" name="Picture 136" descr="SMK 8 ASLI.wmf">
          <a:extLst>
            <a:ext uri="{FF2B5EF4-FFF2-40B4-BE49-F238E27FC236}">
              <a16:creationId xmlns:a16="http://schemas.microsoft.com/office/drawing/2014/main" id="{D1885DD2-30AD-42C4-97BD-161557634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682</xdr:row>
      <xdr:rowOff>0</xdr:rowOff>
    </xdr:from>
    <xdr:ext cx="1" cy="381000"/>
    <xdr:pic>
      <xdr:nvPicPr>
        <xdr:cNvPr id="138" name="Picture 137" descr="SMK 8 ASLI.wmf">
          <a:extLst>
            <a:ext uri="{FF2B5EF4-FFF2-40B4-BE49-F238E27FC236}">
              <a16:creationId xmlns:a16="http://schemas.microsoft.com/office/drawing/2014/main" id="{A448DD95-2782-4AE1-8C14-5C85B557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682</xdr:row>
      <xdr:rowOff>0</xdr:rowOff>
    </xdr:from>
    <xdr:ext cx="4310" cy="390525"/>
    <xdr:pic>
      <xdr:nvPicPr>
        <xdr:cNvPr id="139" name="Picture 138" descr="SMK 8 ASLI.wmf">
          <a:extLst>
            <a:ext uri="{FF2B5EF4-FFF2-40B4-BE49-F238E27FC236}">
              <a16:creationId xmlns:a16="http://schemas.microsoft.com/office/drawing/2014/main" id="{B18B4EB9-7E21-4DC4-8683-383939CF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694</xdr:row>
      <xdr:rowOff>9525</xdr:rowOff>
    </xdr:from>
    <xdr:ext cx="1" cy="381000"/>
    <xdr:pic>
      <xdr:nvPicPr>
        <xdr:cNvPr id="140" name="Picture 139" descr="SMK 8 ASLI.wmf">
          <a:extLst>
            <a:ext uri="{FF2B5EF4-FFF2-40B4-BE49-F238E27FC236}">
              <a16:creationId xmlns:a16="http://schemas.microsoft.com/office/drawing/2014/main" id="{08FA85BA-BF40-4DDB-88AD-F54505B18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2454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694</xdr:row>
      <xdr:rowOff>9525</xdr:rowOff>
    </xdr:from>
    <xdr:ext cx="1" cy="381000"/>
    <xdr:pic>
      <xdr:nvPicPr>
        <xdr:cNvPr id="141" name="Picture 140" descr="SMK 8 ASLI.wmf">
          <a:extLst>
            <a:ext uri="{FF2B5EF4-FFF2-40B4-BE49-F238E27FC236}">
              <a16:creationId xmlns:a16="http://schemas.microsoft.com/office/drawing/2014/main" id="{8DFF7DF8-62CD-4CE6-959D-B4725791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2454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78105</xdr:colOff>
      <xdr:row>691</xdr:row>
      <xdr:rowOff>140969</xdr:rowOff>
    </xdr:from>
    <xdr:to>
      <xdr:col>3</xdr:col>
      <xdr:colOff>876300</xdr:colOff>
      <xdr:row>693</xdr:row>
      <xdr:rowOff>45720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FA6EB14-578E-412C-A8FA-54066826387A}"/>
            </a:ext>
          </a:extLst>
        </xdr:cNvPr>
        <xdr:cNvSpPr txBox="1"/>
      </xdr:nvSpPr>
      <xdr:spPr>
        <a:xfrm>
          <a:off x="1198245" y="132378449"/>
          <a:ext cx="1758315" cy="28575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1100" b="1"/>
            <a:t>GITA PERMATASARI,S.Pd.</a:t>
          </a:r>
        </a:p>
      </xdr:txBody>
    </xdr:sp>
    <xdr:clientData/>
  </xdr:twoCellAnchor>
  <xdr:oneCellAnchor>
    <xdr:from>
      <xdr:col>22</xdr:col>
      <xdr:colOff>0</xdr:colOff>
      <xdr:row>780</xdr:row>
      <xdr:rowOff>9525</xdr:rowOff>
    </xdr:from>
    <xdr:ext cx="1" cy="381000"/>
    <xdr:pic>
      <xdr:nvPicPr>
        <xdr:cNvPr id="143" name="Picture 142" descr="SMK 8 ASLI.wmf">
          <a:extLst>
            <a:ext uri="{FF2B5EF4-FFF2-40B4-BE49-F238E27FC236}">
              <a16:creationId xmlns:a16="http://schemas.microsoft.com/office/drawing/2014/main" id="{6201696C-9840-495C-9F82-074723ADF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3355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779</xdr:row>
      <xdr:rowOff>9525</xdr:rowOff>
    </xdr:from>
    <xdr:ext cx="1" cy="381000"/>
    <xdr:pic>
      <xdr:nvPicPr>
        <xdr:cNvPr id="144" name="Picture 143" descr="SMK 8 ASLI.wmf">
          <a:extLst>
            <a:ext uri="{FF2B5EF4-FFF2-40B4-BE49-F238E27FC236}">
              <a16:creationId xmlns:a16="http://schemas.microsoft.com/office/drawing/2014/main" id="{65CEA593-470D-470F-8EAD-2BE0D0C1C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315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780</xdr:row>
      <xdr:rowOff>0</xdr:rowOff>
    </xdr:from>
    <xdr:ext cx="4310" cy="390525"/>
    <xdr:pic>
      <xdr:nvPicPr>
        <xdr:cNvPr id="145" name="Picture 144" descr="SMK 8 ASLI.wmf">
          <a:extLst>
            <a:ext uri="{FF2B5EF4-FFF2-40B4-BE49-F238E27FC236}">
              <a16:creationId xmlns:a16="http://schemas.microsoft.com/office/drawing/2014/main" id="{8C2EE2F4-354D-4574-9877-83A5ADED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3346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780</xdr:row>
      <xdr:rowOff>9525</xdr:rowOff>
    </xdr:from>
    <xdr:ext cx="1" cy="381000"/>
    <xdr:pic>
      <xdr:nvPicPr>
        <xdr:cNvPr id="146" name="Picture 145" descr="SMK 8 ASLI.wmf">
          <a:extLst>
            <a:ext uri="{FF2B5EF4-FFF2-40B4-BE49-F238E27FC236}">
              <a16:creationId xmlns:a16="http://schemas.microsoft.com/office/drawing/2014/main" id="{3235A665-AE5F-4A2C-9941-D65F1FCDE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3355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779</xdr:row>
      <xdr:rowOff>9525</xdr:rowOff>
    </xdr:from>
    <xdr:ext cx="1" cy="381000"/>
    <xdr:pic>
      <xdr:nvPicPr>
        <xdr:cNvPr id="147" name="Picture 146" descr="SMK 8 ASLI.wmf">
          <a:extLst>
            <a:ext uri="{FF2B5EF4-FFF2-40B4-BE49-F238E27FC236}">
              <a16:creationId xmlns:a16="http://schemas.microsoft.com/office/drawing/2014/main" id="{A03F64E7-2A37-4890-852B-9B4FBC5F0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315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780</xdr:row>
      <xdr:rowOff>0</xdr:rowOff>
    </xdr:from>
    <xdr:ext cx="4310" cy="390525"/>
    <xdr:pic>
      <xdr:nvPicPr>
        <xdr:cNvPr id="148" name="Picture 147" descr="SMK 8 ASLI.wmf">
          <a:extLst>
            <a:ext uri="{FF2B5EF4-FFF2-40B4-BE49-F238E27FC236}">
              <a16:creationId xmlns:a16="http://schemas.microsoft.com/office/drawing/2014/main" id="{4FB61630-F166-4F8A-85FB-517BB4704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3346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780</xdr:row>
      <xdr:rowOff>9525</xdr:rowOff>
    </xdr:from>
    <xdr:ext cx="1" cy="381000"/>
    <xdr:pic>
      <xdr:nvPicPr>
        <xdr:cNvPr id="149" name="Picture 148" descr="SMK 8 ASLI.wmf">
          <a:extLst>
            <a:ext uri="{FF2B5EF4-FFF2-40B4-BE49-F238E27FC236}">
              <a16:creationId xmlns:a16="http://schemas.microsoft.com/office/drawing/2014/main" id="{F466D793-D500-443D-AC8A-DDD6F0B01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3355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779</xdr:row>
      <xdr:rowOff>9525</xdr:rowOff>
    </xdr:from>
    <xdr:ext cx="1" cy="381000"/>
    <xdr:pic>
      <xdr:nvPicPr>
        <xdr:cNvPr id="150" name="Picture 149" descr="SMK 8 ASLI.wmf">
          <a:extLst>
            <a:ext uri="{FF2B5EF4-FFF2-40B4-BE49-F238E27FC236}">
              <a16:creationId xmlns:a16="http://schemas.microsoft.com/office/drawing/2014/main" id="{C63E1FE6-F75F-45DF-8919-11E7FDA1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55000" y="315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780</xdr:row>
      <xdr:rowOff>0</xdr:rowOff>
    </xdr:from>
    <xdr:ext cx="4310" cy="390525"/>
    <xdr:pic>
      <xdr:nvPicPr>
        <xdr:cNvPr id="151" name="Picture 150" descr="SMK 8 ASLI.wmf">
          <a:extLst>
            <a:ext uri="{FF2B5EF4-FFF2-40B4-BE49-F238E27FC236}">
              <a16:creationId xmlns:a16="http://schemas.microsoft.com/office/drawing/2014/main" id="{F7246452-A372-4E5D-AF07-B21F8E164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40251" y="3346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76200</xdr:colOff>
      <xdr:row>778</xdr:row>
      <xdr:rowOff>0</xdr:rowOff>
    </xdr:from>
    <xdr:to>
      <xdr:col>3</xdr:col>
      <xdr:colOff>723900</xdr:colOff>
      <xdr:row>779</xdr:row>
      <xdr:rowOff>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CA03235-8B1A-42A1-9581-F5E31CB5F6CD}"/>
            </a:ext>
          </a:extLst>
        </xdr:cNvPr>
        <xdr:cNvSpPr txBox="1"/>
      </xdr:nvSpPr>
      <xdr:spPr>
        <a:xfrm>
          <a:off x="1200150" y="3149600"/>
          <a:ext cx="159385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1000" b="1"/>
            <a:t>Anita Firdaus Fauziah, S.E.</a:t>
          </a:r>
        </a:p>
      </xdr:txBody>
    </xdr:sp>
    <xdr:clientData/>
  </xdr:twoCellAnchor>
  <xdr:twoCellAnchor>
    <xdr:from>
      <xdr:col>1</xdr:col>
      <xdr:colOff>120015</xdr:colOff>
      <xdr:row>848</xdr:row>
      <xdr:rowOff>176349</xdr:rowOff>
    </xdr:from>
    <xdr:to>
      <xdr:col>23</xdr:col>
      <xdr:colOff>121376</xdr:colOff>
      <xdr:row>857</xdr:row>
      <xdr:rowOff>818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E43B32B8-7AA9-4FC9-9E3E-E4E7B964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386" y="162188435"/>
          <a:ext cx="8927647" cy="1489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866</xdr:row>
      <xdr:rowOff>9525</xdr:rowOff>
    </xdr:from>
    <xdr:to>
      <xdr:col>22</xdr:col>
      <xdr:colOff>1</xdr:colOff>
      <xdr:row>868</xdr:row>
      <xdr:rowOff>19050</xdr:rowOff>
    </xdr:to>
    <xdr:pic>
      <xdr:nvPicPr>
        <xdr:cNvPr id="154" name="Picture 153" descr="SMK 8 ASLI.wmf">
          <a:extLst>
            <a:ext uri="{FF2B5EF4-FFF2-40B4-BE49-F238E27FC236}">
              <a16:creationId xmlns:a16="http://schemas.microsoft.com/office/drawing/2014/main" id="{A24AFEF7-8858-4AD3-B5C8-974E57697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248650" y="27654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10885</xdr:colOff>
      <xdr:row>864</xdr:row>
      <xdr:rowOff>42182</xdr:rowOff>
    </xdr:from>
    <xdr:ext cx="1" cy="381000"/>
    <xdr:pic>
      <xdr:nvPicPr>
        <xdr:cNvPr id="155" name="Picture 154" descr="SMK 8 ASLI.wmf">
          <a:extLst>
            <a:ext uri="{FF2B5EF4-FFF2-40B4-BE49-F238E27FC236}">
              <a16:creationId xmlns:a16="http://schemas.microsoft.com/office/drawing/2014/main" id="{C2C2620E-D22E-4FFF-9E08-5D636822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948056" y="165298211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866</xdr:row>
      <xdr:rowOff>0</xdr:rowOff>
    </xdr:from>
    <xdr:ext cx="4310" cy="390525"/>
    <xdr:pic>
      <xdr:nvPicPr>
        <xdr:cNvPr id="156" name="Picture 155" descr="SMK 8 ASLI.wmf">
          <a:extLst>
            <a:ext uri="{FF2B5EF4-FFF2-40B4-BE49-F238E27FC236}">
              <a16:creationId xmlns:a16="http://schemas.microsoft.com/office/drawing/2014/main" id="{577BDF01-8386-47B6-82FB-7DB6B6550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33901" y="2755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85725</xdr:colOff>
      <xdr:row>864</xdr:row>
      <xdr:rowOff>9525</xdr:rowOff>
    </xdr:from>
    <xdr:to>
      <xdr:col>3</xdr:col>
      <xdr:colOff>733425</xdr:colOff>
      <xdr:row>866</xdr:row>
      <xdr:rowOff>85725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7364AE51-CBA7-4F68-BD92-0DEFB8BDD759}"/>
            </a:ext>
          </a:extLst>
        </xdr:cNvPr>
        <xdr:cNvSpPr txBox="1"/>
      </xdr:nvSpPr>
      <xdr:spPr>
        <a:xfrm>
          <a:off x="1184275" y="2568575"/>
          <a:ext cx="15875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1100" b="1"/>
            <a:t>Delis Nurhasanah, S.E.</a:t>
          </a:r>
        </a:p>
      </xdr:txBody>
    </xdr:sp>
    <xdr:clientData/>
  </xdr:twoCellAnchor>
  <xdr:twoCellAnchor>
    <xdr:from>
      <xdr:col>0</xdr:col>
      <xdr:colOff>87086</xdr:colOff>
      <xdr:row>764</xdr:row>
      <xdr:rowOff>65315</xdr:rowOff>
    </xdr:from>
    <xdr:to>
      <xdr:col>24</xdr:col>
      <xdr:colOff>144236</xdr:colOff>
      <xdr:row>771</xdr:row>
      <xdr:rowOff>119743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3F2D390-EB27-4CD5-A7F6-03657EB6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145933886"/>
          <a:ext cx="9473293" cy="1349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609601</xdr:colOff>
      <xdr:row>10</xdr:row>
      <xdr:rowOff>0</xdr:rowOff>
    </xdr:from>
    <xdr:ext cx="4310" cy="390525"/>
    <xdr:pic>
      <xdr:nvPicPr>
        <xdr:cNvPr id="160" name="Picture 159" descr="SMK 8 ASLI.wmf">
          <a:extLst>
            <a:ext uri="{FF2B5EF4-FFF2-40B4-BE49-F238E27FC236}">
              <a16:creationId xmlns:a16="http://schemas.microsoft.com/office/drawing/2014/main" id="{44D07598-4436-4CBC-A058-D932E91A3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227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10</xdr:row>
      <xdr:rowOff>0</xdr:rowOff>
    </xdr:from>
    <xdr:ext cx="4310" cy="390525"/>
    <xdr:pic>
      <xdr:nvPicPr>
        <xdr:cNvPr id="161" name="Picture 160" descr="SMK 8 ASLI.wmf">
          <a:extLst>
            <a:ext uri="{FF2B5EF4-FFF2-40B4-BE49-F238E27FC236}">
              <a16:creationId xmlns:a16="http://schemas.microsoft.com/office/drawing/2014/main" id="{71B7D46F-93EC-4030-B582-8EAB0C6A4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227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10</xdr:row>
      <xdr:rowOff>0</xdr:rowOff>
    </xdr:from>
    <xdr:ext cx="4310" cy="390525"/>
    <xdr:pic>
      <xdr:nvPicPr>
        <xdr:cNvPr id="162" name="Picture 161" descr="SMK 8 ASLI.wmf">
          <a:extLst>
            <a:ext uri="{FF2B5EF4-FFF2-40B4-BE49-F238E27FC236}">
              <a16:creationId xmlns:a16="http://schemas.microsoft.com/office/drawing/2014/main" id="{9649B7EA-2E4F-4F92-B0C2-58AAFE359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82270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180</xdr:row>
      <xdr:rowOff>0</xdr:rowOff>
    </xdr:from>
    <xdr:ext cx="4310" cy="390525"/>
    <xdr:pic>
      <xdr:nvPicPr>
        <xdr:cNvPr id="163" name="Picture 162" descr="SMK 8 ASLI.wmf">
          <a:extLst>
            <a:ext uri="{FF2B5EF4-FFF2-40B4-BE49-F238E27FC236}">
              <a16:creationId xmlns:a16="http://schemas.microsoft.com/office/drawing/2014/main" id="{4E5E5270-A6E4-450A-AB37-7C4BB51C3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4556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180</xdr:row>
      <xdr:rowOff>0</xdr:rowOff>
    </xdr:from>
    <xdr:ext cx="4310" cy="390525"/>
    <xdr:pic>
      <xdr:nvPicPr>
        <xdr:cNvPr id="164" name="Picture 163" descr="SMK 8 ASLI.wmf">
          <a:extLst>
            <a:ext uri="{FF2B5EF4-FFF2-40B4-BE49-F238E27FC236}">
              <a16:creationId xmlns:a16="http://schemas.microsoft.com/office/drawing/2014/main" id="{D1255E47-5730-4283-8BD2-F723167D9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84556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180</xdr:row>
      <xdr:rowOff>0</xdr:rowOff>
    </xdr:from>
    <xdr:ext cx="4310" cy="390525"/>
    <xdr:pic>
      <xdr:nvPicPr>
        <xdr:cNvPr id="165" name="Picture 164" descr="SMK 8 ASLI.wmf">
          <a:extLst>
            <a:ext uri="{FF2B5EF4-FFF2-40B4-BE49-F238E27FC236}">
              <a16:creationId xmlns:a16="http://schemas.microsoft.com/office/drawing/2014/main" id="{E877D1C0-1DB3-42C5-8DEA-FD1D4C94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84556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265</xdr:row>
      <xdr:rowOff>0</xdr:rowOff>
    </xdr:from>
    <xdr:ext cx="4310" cy="390525"/>
    <xdr:pic>
      <xdr:nvPicPr>
        <xdr:cNvPr id="166" name="Picture 165" descr="SMK 8 ASLI.wmf">
          <a:extLst>
            <a:ext uri="{FF2B5EF4-FFF2-40B4-BE49-F238E27FC236}">
              <a16:creationId xmlns:a16="http://schemas.microsoft.com/office/drawing/2014/main" id="{B0116D72-526E-47C4-9F66-9EABE984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45795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265</xdr:row>
      <xdr:rowOff>0</xdr:rowOff>
    </xdr:from>
    <xdr:ext cx="4310" cy="390525"/>
    <xdr:pic>
      <xdr:nvPicPr>
        <xdr:cNvPr id="167" name="Picture 166" descr="SMK 8 ASLI.wmf">
          <a:extLst>
            <a:ext uri="{FF2B5EF4-FFF2-40B4-BE49-F238E27FC236}">
              <a16:creationId xmlns:a16="http://schemas.microsoft.com/office/drawing/2014/main" id="{F8C4D728-E393-45EB-875F-1FB79A02A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345795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265</xdr:row>
      <xdr:rowOff>0</xdr:rowOff>
    </xdr:from>
    <xdr:ext cx="4310" cy="390525"/>
    <xdr:pic>
      <xdr:nvPicPr>
        <xdr:cNvPr id="168" name="Picture 167" descr="SMK 8 ASLI.wmf">
          <a:extLst>
            <a:ext uri="{FF2B5EF4-FFF2-40B4-BE49-F238E27FC236}">
              <a16:creationId xmlns:a16="http://schemas.microsoft.com/office/drawing/2014/main" id="{23A89877-4D70-4416-9EB2-7A2A5D365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345795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351</xdr:row>
      <xdr:rowOff>0</xdr:rowOff>
    </xdr:from>
    <xdr:ext cx="4310" cy="390525"/>
    <xdr:pic>
      <xdr:nvPicPr>
        <xdr:cNvPr id="169" name="Picture 168" descr="SMK 8 ASLI.wmf">
          <a:extLst>
            <a:ext uri="{FF2B5EF4-FFF2-40B4-BE49-F238E27FC236}">
              <a16:creationId xmlns:a16="http://schemas.microsoft.com/office/drawing/2014/main" id="{E639CC18-ACEB-425D-9E63-1F7926DC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50718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351</xdr:row>
      <xdr:rowOff>0</xdr:rowOff>
    </xdr:from>
    <xdr:ext cx="4310" cy="390525"/>
    <xdr:pic>
      <xdr:nvPicPr>
        <xdr:cNvPr id="170" name="Picture 169" descr="SMK 8 ASLI.wmf">
          <a:extLst>
            <a:ext uri="{FF2B5EF4-FFF2-40B4-BE49-F238E27FC236}">
              <a16:creationId xmlns:a16="http://schemas.microsoft.com/office/drawing/2014/main" id="{2D9A4F20-946B-4D28-AAFB-7EFB9497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50718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351</xdr:row>
      <xdr:rowOff>0</xdr:rowOff>
    </xdr:from>
    <xdr:ext cx="4310" cy="390525"/>
    <xdr:pic>
      <xdr:nvPicPr>
        <xdr:cNvPr id="171" name="Picture 170" descr="SMK 8 ASLI.wmf">
          <a:extLst>
            <a:ext uri="{FF2B5EF4-FFF2-40B4-BE49-F238E27FC236}">
              <a16:creationId xmlns:a16="http://schemas.microsoft.com/office/drawing/2014/main" id="{7D1908E0-D64B-4281-97CB-139B70BD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50718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436</xdr:row>
      <xdr:rowOff>0</xdr:rowOff>
    </xdr:from>
    <xdr:ext cx="4310" cy="390525"/>
    <xdr:pic>
      <xdr:nvPicPr>
        <xdr:cNvPr id="172" name="Picture 171" descr="SMK 8 ASLI.wmf">
          <a:extLst>
            <a:ext uri="{FF2B5EF4-FFF2-40B4-BE49-F238E27FC236}">
              <a16:creationId xmlns:a16="http://schemas.microsoft.com/office/drawing/2014/main" id="{4A10C9AB-15EB-4E40-8D52-BF36308C4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671474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436</xdr:row>
      <xdr:rowOff>0</xdr:rowOff>
    </xdr:from>
    <xdr:ext cx="4310" cy="390525"/>
    <xdr:pic>
      <xdr:nvPicPr>
        <xdr:cNvPr id="173" name="Picture 172" descr="SMK 8 ASLI.wmf">
          <a:extLst>
            <a:ext uri="{FF2B5EF4-FFF2-40B4-BE49-F238E27FC236}">
              <a16:creationId xmlns:a16="http://schemas.microsoft.com/office/drawing/2014/main" id="{05CAC7DF-C6F6-41BF-84BA-F2C2C5D0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671474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436</xdr:row>
      <xdr:rowOff>0</xdr:rowOff>
    </xdr:from>
    <xdr:ext cx="4310" cy="390525"/>
    <xdr:pic>
      <xdr:nvPicPr>
        <xdr:cNvPr id="174" name="Picture 173" descr="SMK 8 ASLI.wmf">
          <a:extLst>
            <a:ext uri="{FF2B5EF4-FFF2-40B4-BE49-F238E27FC236}">
              <a16:creationId xmlns:a16="http://schemas.microsoft.com/office/drawing/2014/main" id="{6A39771F-E2E1-49F9-8601-9801AA2F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671474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518</xdr:row>
      <xdr:rowOff>0</xdr:rowOff>
    </xdr:from>
    <xdr:ext cx="4310" cy="390525"/>
    <xdr:pic>
      <xdr:nvPicPr>
        <xdr:cNvPr id="175" name="Picture 174" descr="SMK 8 ASLI.wmf">
          <a:extLst>
            <a:ext uri="{FF2B5EF4-FFF2-40B4-BE49-F238E27FC236}">
              <a16:creationId xmlns:a16="http://schemas.microsoft.com/office/drawing/2014/main" id="{654CA255-9DE8-4C62-88E9-2F9BE355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83103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518</xdr:row>
      <xdr:rowOff>0</xdr:rowOff>
    </xdr:from>
    <xdr:ext cx="4310" cy="390525"/>
    <xdr:pic>
      <xdr:nvPicPr>
        <xdr:cNvPr id="176" name="Picture 175" descr="SMK 8 ASLI.wmf">
          <a:extLst>
            <a:ext uri="{FF2B5EF4-FFF2-40B4-BE49-F238E27FC236}">
              <a16:creationId xmlns:a16="http://schemas.microsoft.com/office/drawing/2014/main" id="{161381AC-39B7-4656-91BD-6A185D960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83103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518</xdr:row>
      <xdr:rowOff>0</xdr:rowOff>
    </xdr:from>
    <xdr:ext cx="4310" cy="390525"/>
    <xdr:pic>
      <xdr:nvPicPr>
        <xdr:cNvPr id="177" name="Picture 176" descr="SMK 8 ASLI.wmf">
          <a:extLst>
            <a:ext uri="{FF2B5EF4-FFF2-40B4-BE49-F238E27FC236}">
              <a16:creationId xmlns:a16="http://schemas.microsoft.com/office/drawing/2014/main" id="{4D998A40-69BE-4472-84DE-C191EE124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8310372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603</xdr:row>
      <xdr:rowOff>0</xdr:rowOff>
    </xdr:from>
    <xdr:ext cx="4310" cy="390525"/>
    <xdr:pic>
      <xdr:nvPicPr>
        <xdr:cNvPr id="178" name="Picture 177" descr="SMK 8 ASLI.wmf">
          <a:extLst>
            <a:ext uri="{FF2B5EF4-FFF2-40B4-BE49-F238E27FC236}">
              <a16:creationId xmlns:a16="http://schemas.microsoft.com/office/drawing/2014/main" id="{2DE81430-7F7C-4EE4-8FF5-23136D82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98907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603</xdr:row>
      <xdr:rowOff>0</xdr:rowOff>
    </xdr:from>
    <xdr:ext cx="4310" cy="390525"/>
    <xdr:pic>
      <xdr:nvPicPr>
        <xdr:cNvPr id="179" name="Picture 178" descr="SMK 8 ASLI.wmf">
          <a:extLst>
            <a:ext uri="{FF2B5EF4-FFF2-40B4-BE49-F238E27FC236}">
              <a16:creationId xmlns:a16="http://schemas.microsoft.com/office/drawing/2014/main" id="{96ADA5E0-DDF9-476D-A3C5-51BF65D6C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98907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603</xdr:row>
      <xdr:rowOff>0</xdr:rowOff>
    </xdr:from>
    <xdr:ext cx="4310" cy="390525"/>
    <xdr:pic>
      <xdr:nvPicPr>
        <xdr:cNvPr id="180" name="Picture 179" descr="SMK 8 ASLI.wmf">
          <a:extLst>
            <a:ext uri="{FF2B5EF4-FFF2-40B4-BE49-F238E27FC236}">
              <a16:creationId xmlns:a16="http://schemas.microsoft.com/office/drawing/2014/main" id="{A3664FEC-7456-4A40-BD08-01C36F74C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98907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689</xdr:row>
      <xdr:rowOff>0</xdr:rowOff>
    </xdr:from>
    <xdr:ext cx="4310" cy="390525"/>
    <xdr:pic>
      <xdr:nvPicPr>
        <xdr:cNvPr id="181" name="Picture 180" descr="SMK 8 ASLI.wmf">
          <a:extLst>
            <a:ext uri="{FF2B5EF4-FFF2-40B4-BE49-F238E27FC236}">
              <a16:creationId xmlns:a16="http://schemas.microsoft.com/office/drawing/2014/main" id="{5D9AD119-FCC9-4CD9-9AC1-43BAC22DB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155801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689</xdr:row>
      <xdr:rowOff>0</xdr:rowOff>
    </xdr:from>
    <xdr:ext cx="4310" cy="390525"/>
    <xdr:pic>
      <xdr:nvPicPr>
        <xdr:cNvPr id="182" name="Picture 181" descr="SMK 8 ASLI.wmf">
          <a:extLst>
            <a:ext uri="{FF2B5EF4-FFF2-40B4-BE49-F238E27FC236}">
              <a16:creationId xmlns:a16="http://schemas.microsoft.com/office/drawing/2014/main" id="{C95A3F31-A2F0-47F6-AE7A-05F7B847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155801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689</xdr:row>
      <xdr:rowOff>0</xdr:rowOff>
    </xdr:from>
    <xdr:ext cx="4310" cy="390525"/>
    <xdr:pic>
      <xdr:nvPicPr>
        <xdr:cNvPr id="183" name="Picture 182" descr="SMK 8 ASLI.wmf">
          <a:extLst>
            <a:ext uri="{FF2B5EF4-FFF2-40B4-BE49-F238E27FC236}">
              <a16:creationId xmlns:a16="http://schemas.microsoft.com/office/drawing/2014/main" id="{5A70A1B7-8F97-4F12-93FD-C14558D91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1558016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774</xdr:row>
      <xdr:rowOff>0</xdr:rowOff>
    </xdr:from>
    <xdr:ext cx="4310" cy="390525"/>
    <xdr:pic>
      <xdr:nvPicPr>
        <xdr:cNvPr id="184" name="Picture 183" descr="SMK 8 ASLI.wmf">
          <a:extLst>
            <a:ext uri="{FF2B5EF4-FFF2-40B4-BE49-F238E27FC236}">
              <a16:creationId xmlns:a16="http://schemas.microsoft.com/office/drawing/2014/main" id="{0B1923FF-2405-492E-9783-E9C58F294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318412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774</xdr:row>
      <xdr:rowOff>0</xdr:rowOff>
    </xdr:from>
    <xdr:ext cx="4310" cy="390525"/>
    <xdr:pic>
      <xdr:nvPicPr>
        <xdr:cNvPr id="185" name="Picture 184" descr="SMK 8 ASLI.wmf">
          <a:extLst>
            <a:ext uri="{FF2B5EF4-FFF2-40B4-BE49-F238E27FC236}">
              <a16:creationId xmlns:a16="http://schemas.microsoft.com/office/drawing/2014/main" id="{0AFF49FF-C6F7-4C02-AC61-2074F496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318412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774</xdr:row>
      <xdr:rowOff>0</xdr:rowOff>
    </xdr:from>
    <xdr:ext cx="4310" cy="390525"/>
    <xdr:pic>
      <xdr:nvPicPr>
        <xdr:cNvPr id="186" name="Picture 185" descr="SMK 8 ASLI.wmf">
          <a:extLst>
            <a:ext uri="{FF2B5EF4-FFF2-40B4-BE49-F238E27FC236}">
              <a16:creationId xmlns:a16="http://schemas.microsoft.com/office/drawing/2014/main" id="{50628FFB-360E-4EAB-A7F8-E45A5E06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318412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860</xdr:row>
      <xdr:rowOff>0</xdr:rowOff>
    </xdr:from>
    <xdr:ext cx="4310" cy="390525"/>
    <xdr:pic>
      <xdr:nvPicPr>
        <xdr:cNvPr id="187" name="Picture 186" descr="SMK 8 ASLI.wmf">
          <a:extLst>
            <a:ext uri="{FF2B5EF4-FFF2-40B4-BE49-F238E27FC236}">
              <a16:creationId xmlns:a16="http://schemas.microsoft.com/office/drawing/2014/main" id="{D9D8EBBF-5EDA-4486-8448-0D3D0D96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481861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860</xdr:row>
      <xdr:rowOff>0</xdr:rowOff>
    </xdr:from>
    <xdr:ext cx="4310" cy="390525"/>
    <xdr:pic>
      <xdr:nvPicPr>
        <xdr:cNvPr id="188" name="Picture 187" descr="SMK 8 ASLI.wmf">
          <a:extLst>
            <a:ext uri="{FF2B5EF4-FFF2-40B4-BE49-F238E27FC236}">
              <a16:creationId xmlns:a16="http://schemas.microsoft.com/office/drawing/2014/main" id="{49723F82-B7F5-4DD6-8EC1-CC2F7DC6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481861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860</xdr:row>
      <xdr:rowOff>0</xdr:rowOff>
    </xdr:from>
    <xdr:ext cx="4310" cy="390525"/>
    <xdr:pic>
      <xdr:nvPicPr>
        <xdr:cNvPr id="189" name="Picture 188" descr="SMK 8 ASLI.wmf">
          <a:extLst>
            <a:ext uri="{FF2B5EF4-FFF2-40B4-BE49-F238E27FC236}">
              <a16:creationId xmlns:a16="http://schemas.microsoft.com/office/drawing/2014/main" id="{7ACC97DE-97AB-447F-AD6A-E8215D36C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4818614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774</xdr:row>
      <xdr:rowOff>0</xdr:rowOff>
    </xdr:from>
    <xdr:ext cx="4310" cy="390525"/>
    <xdr:pic>
      <xdr:nvPicPr>
        <xdr:cNvPr id="190" name="Picture 189" descr="SMK 8 ASLI.wmf">
          <a:extLst>
            <a:ext uri="{FF2B5EF4-FFF2-40B4-BE49-F238E27FC236}">
              <a16:creationId xmlns:a16="http://schemas.microsoft.com/office/drawing/2014/main" id="{C2F48F03-3966-43F4-A390-871689103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647367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774</xdr:row>
      <xdr:rowOff>0</xdr:rowOff>
    </xdr:from>
    <xdr:ext cx="4310" cy="390525"/>
    <xdr:pic>
      <xdr:nvPicPr>
        <xdr:cNvPr id="191" name="Picture 190" descr="SMK 8 ASLI.wmf">
          <a:extLst>
            <a:ext uri="{FF2B5EF4-FFF2-40B4-BE49-F238E27FC236}">
              <a16:creationId xmlns:a16="http://schemas.microsoft.com/office/drawing/2014/main" id="{33A59636-BEDA-4A52-967E-3D8E1D522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64481" y="1647367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220981</xdr:colOff>
      <xdr:row>774</xdr:row>
      <xdr:rowOff>0</xdr:rowOff>
    </xdr:from>
    <xdr:ext cx="4310" cy="390525"/>
    <xdr:pic>
      <xdr:nvPicPr>
        <xdr:cNvPr id="192" name="Picture 191" descr="SMK 8 ASLI.wmf">
          <a:extLst>
            <a:ext uri="{FF2B5EF4-FFF2-40B4-BE49-F238E27FC236}">
              <a16:creationId xmlns:a16="http://schemas.microsoft.com/office/drawing/2014/main" id="{90703BD3-8219-4793-A7EB-3EFFDBC9B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41621" y="16473678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24</xdr:col>
      <xdr:colOff>9072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4443D-D8A5-42D1-ADBE-0174EFB9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9007929" cy="1131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12</xdr:row>
      <xdr:rowOff>9525</xdr:rowOff>
    </xdr:from>
    <xdr:to>
      <xdr:col>22</xdr:col>
      <xdr:colOff>1</xdr:colOff>
      <xdr:row>14</xdr:row>
      <xdr:rowOff>19050</xdr:rowOff>
    </xdr:to>
    <xdr:pic>
      <xdr:nvPicPr>
        <xdr:cNvPr id="3" name="Picture 2" descr="SMK 8 ASLI.wmf">
          <a:extLst>
            <a:ext uri="{FF2B5EF4-FFF2-40B4-BE49-F238E27FC236}">
              <a16:creationId xmlns:a16="http://schemas.microsoft.com/office/drawing/2014/main" id="{FE7821E7-624D-411A-84A0-C8B0E10E0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7654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11</xdr:row>
      <xdr:rowOff>9525</xdr:rowOff>
    </xdr:from>
    <xdr:ext cx="1" cy="381000"/>
    <xdr:pic>
      <xdr:nvPicPr>
        <xdr:cNvPr id="4" name="Picture 3" descr="SMK 8 ASLI.wmf">
          <a:extLst>
            <a:ext uri="{FF2B5EF4-FFF2-40B4-BE49-F238E27FC236}">
              <a16:creationId xmlns:a16="http://schemas.microsoft.com/office/drawing/2014/main" id="{DFE4E23E-B9CB-406D-A8B6-36FBA5EDF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568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12</xdr:row>
      <xdr:rowOff>0</xdr:rowOff>
    </xdr:from>
    <xdr:ext cx="4310" cy="390525"/>
    <xdr:pic>
      <xdr:nvPicPr>
        <xdr:cNvPr id="5" name="Picture 4" descr="SMK 8 ASLI.wmf">
          <a:extLst>
            <a:ext uri="{FF2B5EF4-FFF2-40B4-BE49-F238E27FC236}">
              <a16:creationId xmlns:a16="http://schemas.microsoft.com/office/drawing/2014/main" id="{BC424DD8-CFA5-40BD-92BB-EBD27A974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2755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9525</xdr:rowOff>
    </xdr:from>
    <xdr:ext cx="1" cy="381000"/>
    <xdr:pic>
      <xdr:nvPicPr>
        <xdr:cNvPr id="6" name="Picture 5" descr="SMK 8 ASLI.wmf">
          <a:extLst>
            <a:ext uri="{FF2B5EF4-FFF2-40B4-BE49-F238E27FC236}">
              <a16:creationId xmlns:a16="http://schemas.microsoft.com/office/drawing/2014/main" id="{8943A7FC-4B2F-4ECD-90C3-79FF1A24F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155162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0</xdr:rowOff>
    </xdr:from>
    <xdr:ext cx="1" cy="381000"/>
    <xdr:pic>
      <xdr:nvPicPr>
        <xdr:cNvPr id="7" name="Picture 6" descr="SMK 8 ASLI.wmf">
          <a:extLst>
            <a:ext uri="{FF2B5EF4-FFF2-40B4-BE49-F238E27FC236}">
              <a16:creationId xmlns:a16="http://schemas.microsoft.com/office/drawing/2014/main" id="{2BE8E6BE-C1FD-470F-853F-A705F937D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153193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70</xdr:row>
      <xdr:rowOff>0</xdr:rowOff>
    </xdr:from>
    <xdr:ext cx="4310" cy="390525"/>
    <xdr:pic>
      <xdr:nvPicPr>
        <xdr:cNvPr id="8" name="Picture 7" descr="SMK 8 ASLI.wmf">
          <a:extLst>
            <a:ext uri="{FF2B5EF4-FFF2-40B4-BE49-F238E27FC236}">
              <a16:creationId xmlns:a16="http://schemas.microsoft.com/office/drawing/2014/main" id="{1A3DE54E-25A5-42E9-AD43-A4376D028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155067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9525</xdr:rowOff>
    </xdr:from>
    <xdr:ext cx="1" cy="381000"/>
    <xdr:pic>
      <xdr:nvPicPr>
        <xdr:cNvPr id="9" name="Picture 8" descr="SMK 8 ASLI.wmf">
          <a:extLst>
            <a:ext uri="{FF2B5EF4-FFF2-40B4-BE49-F238E27FC236}">
              <a16:creationId xmlns:a16="http://schemas.microsoft.com/office/drawing/2014/main" id="{7DD53184-C829-42F4-9073-1AA93DCF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155162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0</xdr:rowOff>
    </xdr:from>
    <xdr:ext cx="1" cy="381000"/>
    <xdr:pic>
      <xdr:nvPicPr>
        <xdr:cNvPr id="10" name="Picture 9" descr="SMK 8 ASLI.wmf">
          <a:extLst>
            <a:ext uri="{FF2B5EF4-FFF2-40B4-BE49-F238E27FC236}">
              <a16:creationId xmlns:a16="http://schemas.microsoft.com/office/drawing/2014/main" id="{FDED87E7-F292-4ECF-A624-1484DA52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153193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70</xdr:row>
      <xdr:rowOff>0</xdr:rowOff>
    </xdr:from>
    <xdr:ext cx="4310" cy="390525"/>
    <xdr:pic>
      <xdr:nvPicPr>
        <xdr:cNvPr id="11" name="Picture 10" descr="SMK 8 ASLI.wmf">
          <a:extLst>
            <a:ext uri="{FF2B5EF4-FFF2-40B4-BE49-F238E27FC236}">
              <a16:creationId xmlns:a16="http://schemas.microsoft.com/office/drawing/2014/main" id="{268E37ED-7593-4038-BB6C-DF4757D7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155067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139</xdr:row>
      <xdr:rowOff>0</xdr:rowOff>
    </xdr:from>
    <xdr:ext cx="1" cy="381000"/>
    <xdr:pic>
      <xdr:nvPicPr>
        <xdr:cNvPr id="12" name="Picture 11" descr="SMK 8 ASLI.wmf">
          <a:extLst>
            <a:ext uri="{FF2B5EF4-FFF2-40B4-BE49-F238E27FC236}">
              <a16:creationId xmlns:a16="http://schemas.microsoft.com/office/drawing/2014/main" id="{BA0512BE-1072-44CE-B9EB-05AA59FE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301783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138</xdr:row>
      <xdr:rowOff>9525</xdr:rowOff>
    </xdr:from>
    <xdr:ext cx="1" cy="381000"/>
    <xdr:pic>
      <xdr:nvPicPr>
        <xdr:cNvPr id="13" name="Picture 12" descr="SMK 8 ASLI.wmf">
          <a:extLst>
            <a:ext uri="{FF2B5EF4-FFF2-40B4-BE49-F238E27FC236}">
              <a16:creationId xmlns:a16="http://schemas.microsoft.com/office/drawing/2014/main" id="{2D89DBD7-274A-4FCC-A56B-B48DF505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99815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139</xdr:row>
      <xdr:rowOff>0</xdr:rowOff>
    </xdr:from>
    <xdr:ext cx="4310" cy="390525"/>
    <xdr:pic>
      <xdr:nvPicPr>
        <xdr:cNvPr id="14" name="Picture 13" descr="SMK 8 ASLI.wmf">
          <a:extLst>
            <a:ext uri="{FF2B5EF4-FFF2-40B4-BE49-F238E27FC236}">
              <a16:creationId xmlns:a16="http://schemas.microsoft.com/office/drawing/2014/main" id="{E38B51F2-4B6E-4183-A40E-5F12C3721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301688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139</xdr:row>
      <xdr:rowOff>0</xdr:rowOff>
    </xdr:from>
    <xdr:ext cx="1" cy="381000"/>
    <xdr:pic>
      <xdr:nvPicPr>
        <xdr:cNvPr id="15" name="Picture 14" descr="SMK 8 ASLI.wmf">
          <a:extLst>
            <a:ext uri="{FF2B5EF4-FFF2-40B4-BE49-F238E27FC236}">
              <a16:creationId xmlns:a16="http://schemas.microsoft.com/office/drawing/2014/main" id="{FAC21B61-991C-424C-95A0-7AD90307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301783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138</xdr:row>
      <xdr:rowOff>9525</xdr:rowOff>
    </xdr:from>
    <xdr:ext cx="1" cy="381000"/>
    <xdr:pic>
      <xdr:nvPicPr>
        <xdr:cNvPr id="16" name="Picture 15" descr="SMK 8 ASLI.wmf">
          <a:extLst>
            <a:ext uri="{FF2B5EF4-FFF2-40B4-BE49-F238E27FC236}">
              <a16:creationId xmlns:a16="http://schemas.microsoft.com/office/drawing/2014/main" id="{25A33552-9324-428E-BCE9-3838DF7D3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99815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139</xdr:row>
      <xdr:rowOff>0</xdr:rowOff>
    </xdr:from>
    <xdr:ext cx="4310" cy="390525"/>
    <xdr:pic>
      <xdr:nvPicPr>
        <xdr:cNvPr id="17" name="Picture 16" descr="SMK 8 ASLI.wmf">
          <a:extLst>
            <a:ext uri="{FF2B5EF4-FFF2-40B4-BE49-F238E27FC236}">
              <a16:creationId xmlns:a16="http://schemas.microsoft.com/office/drawing/2014/main" id="{9975729F-CA82-44D6-8449-73D643E9B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301688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9525</xdr:rowOff>
    </xdr:from>
    <xdr:ext cx="1" cy="381000"/>
    <xdr:pic>
      <xdr:nvPicPr>
        <xdr:cNvPr id="18" name="Picture 17" descr="SMK 8 ASLI.wmf">
          <a:extLst>
            <a:ext uri="{FF2B5EF4-FFF2-40B4-BE49-F238E27FC236}">
              <a16:creationId xmlns:a16="http://schemas.microsoft.com/office/drawing/2014/main" id="{208E223B-559E-42BE-AB75-48D7EA731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155162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0</xdr:rowOff>
    </xdr:from>
    <xdr:ext cx="1" cy="381000"/>
    <xdr:pic>
      <xdr:nvPicPr>
        <xdr:cNvPr id="19" name="Picture 18" descr="SMK 8 ASLI.wmf">
          <a:extLst>
            <a:ext uri="{FF2B5EF4-FFF2-40B4-BE49-F238E27FC236}">
              <a16:creationId xmlns:a16="http://schemas.microsoft.com/office/drawing/2014/main" id="{D4277043-FF1A-425D-846F-3123A272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153193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70</xdr:row>
      <xdr:rowOff>0</xdr:rowOff>
    </xdr:from>
    <xdr:ext cx="4310" cy="390525"/>
    <xdr:pic>
      <xdr:nvPicPr>
        <xdr:cNvPr id="20" name="Picture 19" descr="SMK 8 ASLI.wmf">
          <a:extLst>
            <a:ext uri="{FF2B5EF4-FFF2-40B4-BE49-F238E27FC236}">
              <a16:creationId xmlns:a16="http://schemas.microsoft.com/office/drawing/2014/main" id="{E0668C35-8F04-44E5-B2F6-27CFE635A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155067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138</xdr:row>
      <xdr:rowOff>9525</xdr:rowOff>
    </xdr:from>
    <xdr:ext cx="1" cy="381000"/>
    <xdr:pic>
      <xdr:nvPicPr>
        <xdr:cNvPr id="21" name="Picture 20" descr="SMK 8 ASLI.wmf">
          <a:extLst>
            <a:ext uri="{FF2B5EF4-FFF2-40B4-BE49-F238E27FC236}">
              <a16:creationId xmlns:a16="http://schemas.microsoft.com/office/drawing/2014/main" id="{225D7926-B074-446D-A6B3-AA4D15F2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99815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138</xdr:row>
      <xdr:rowOff>9525</xdr:rowOff>
    </xdr:from>
    <xdr:ext cx="1" cy="381000"/>
    <xdr:pic>
      <xdr:nvPicPr>
        <xdr:cNvPr id="22" name="Picture 21" descr="SMK 8 ASLI.wmf">
          <a:extLst>
            <a:ext uri="{FF2B5EF4-FFF2-40B4-BE49-F238E27FC236}">
              <a16:creationId xmlns:a16="http://schemas.microsoft.com/office/drawing/2014/main" id="{22E39AC1-CF8A-4E23-962C-484731C41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99815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138</xdr:row>
      <xdr:rowOff>9525</xdr:rowOff>
    </xdr:from>
    <xdr:ext cx="1" cy="381000"/>
    <xdr:pic>
      <xdr:nvPicPr>
        <xdr:cNvPr id="23" name="Picture 22" descr="SMK 8 ASLI.wmf">
          <a:extLst>
            <a:ext uri="{FF2B5EF4-FFF2-40B4-BE49-F238E27FC236}">
              <a16:creationId xmlns:a16="http://schemas.microsoft.com/office/drawing/2014/main" id="{DE1BFAEF-8D75-4BCE-9D47-E133EE0E5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99815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58</xdr:row>
      <xdr:rowOff>0</xdr:rowOff>
    </xdr:from>
    <xdr:to>
      <xdr:col>22</xdr:col>
      <xdr:colOff>1</xdr:colOff>
      <xdr:row>60</xdr:row>
      <xdr:rowOff>1</xdr:rowOff>
    </xdr:to>
    <xdr:pic>
      <xdr:nvPicPr>
        <xdr:cNvPr id="24" name="Picture 23" descr="SMK 8 ASLI.wmf">
          <a:extLst>
            <a:ext uri="{FF2B5EF4-FFF2-40B4-BE49-F238E27FC236}">
              <a16:creationId xmlns:a16="http://schemas.microsoft.com/office/drawing/2014/main" id="{67218CF6-9621-448D-BDC0-320B56E2A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58</xdr:row>
      <xdr:rowOff>0</xdr:rowOff>
    </xdr:from>
    <xdr:ext cx="1" cy="381000"/>
    <xdr:pic>
      <xdr:nvPicPr>
        <xdr:cNvPr id="25" name="Picture 24" descr="SMK 8 ASLI.wmf">
          <a:extLst>
            <a:ext uri="{FF2B5EF4-FFF2-40B4-BE49-F238E27FC236}">
              <a16:creationId xmlns:a16="http://schemas.microsoft.com/office/drawing/2014/main" id="{D392FAB5-5F86-4F95-A96A-FF305268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58</xdr:row>
      <xdr:rowOff>0</xdr:rowOff>
    </xdr:from>
    <xdr:ext cx="4310" cy="390525"/>
    <xdr:pic>
      <xdr:nvPicPr>
        <xdr:cNvPr id="26" name="Picture 25" descr="SMK 8 ASLI.wmf">
          <a:extLst>
            <a:ext uri="{FF2B5EF4-FFF2-40B4-BE49-F238E27FC236}">
              <a16:creationId xmlns:a16="http://schemas.microsoft.com/office/drawing/2014/main" id="{6E3A5A4E-6B6B-4643-AC69-C601EBAFE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71</xdr:row>
      <xdr:rowOff>9525</xdr:rowOff>
    </xdr:from>
    <xdr:ext cx="1" cy="381000"/>
    <xdr:pic>
      <xdr:nvPicPr>
        <xdr:cNvPr id="27" name="Picture 26" descr="SMK 8 ASLI.wmf">
          <a:extLst>
            <a:ext uri="{FF2B5EF4-FFF2-40B4-BE49-F238E27FC236}">
              <a16:creationId xmlns:a16="http://schemas.microsoft.com/office/drawing/2014/main" id="{2911E115-636B-4E0E-BA5E-628741C8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9525</xdr:rowOff>
    </xdr:from>
    <xdr:ext cx="1" cy="381000"/>
    <xdr:pic>
      <xdr:nvPicPr>
        <xdr:cNvPr id="28" name="Picture 27" descr="SMK 8 ASLI.wmf">
          <a:extLst>
            <a:ext uri="{FF2B5EF4-FFF2-40B4-BE49-F238E27FC236}">
              <a16:creationId xmlns:a16="http://schemas.microsoft.com/office/drawing/2014/main" id="{4181252C-4AEE-468F-B4A7-D597483E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71</xdr:row>
      <xdr:rowOff>0</xdr:rowOff>
    </xdr:from>
    <xdr:ext cx="4310" cy="390525"/>
    <xdr:pic>
      <xdr:nvPicPr>
        <xdr:cNvPr id="29" name="Picture 28" descr="SMK 8 ASLI.wmf">
          <a:extLst>
            <a:ext uri="{FF2B5EF4-FFF2-40B4-BE49-F238E27FC236}">
              <a16:creationId xmlns:a16="http://schemas.microsoft.com/office/drawing/2014/main" id="{33CEAD41-8005-4272-A1E8-7440C5021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58</xdr:row>
      <xdr:rowOff>68579</xdr:rowOff>
    </xdr:from>
    <xdr:to>
      <xdr:col>24</xdr:col>
      <xdr:colOff>57150</xdr:colOff>
      <xdr:row>64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C2424E4-2741-491B-807B-17C0ADE38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35739"/>
          <a:ext cx="9056370" cy="1143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71</xdr:row>
      <xdr:rowOff>9525</xdr:rowOff>
    </xdr:from>
    <xdr:ext cx="1" cy="381000"/>
    <xdr:pic>
      <xdr:nvPicPr>
        <xdr:cNvPr id="31" name="Picture 30" descr="SMK 8 ASLI.wmf">
          <a:extLst>
            <a:ext uri="{FF2B5EF4-FFF2-40B4-BE49-F238E27FC236}">
              <a16:creationId xmlns:a16="http://schemas.microsoft.com/office/drawing/2014/main" id="{AEB6731B-23E5-4B4C-9DCE-08F539D06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9525</xdr:rowOff>
    </xdr:from>
    <xdr:ext cx="1" cy="381000"/>
    <xdr:pic>
      <xdr:nvPicPr>
        <xdr:cNvPr id="32" name="Picture 31" descr="SMK 8 ASLI.wmf">
          <a:extLst>
            <a:ext uri="{FF2B5EF4-FFF2-40B4-BE49-F238E27FC236}">
              <a16:creationId xmlns:a16="http://schemas.microsoft.com/office/drawing/2014/main" id="{BF67CC75-F531-424D-BA08-6292F67F0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71</xdr:row>
      <xdr:rowOff>0</xdr:rowOff>
    </xdr:from>
    <xdr:ext cx="4310" cy="390525"/>
    <xdr:pic>
      <xdr:nvPicPr>
        <xdr:cNvPr id="33" name="Picture 32" descr="SMK 8 ASLI.wmf">
          <a:extLst>
            <a:ext uri="{FF2B5EF4-FFF2-40B4-BE49-F238E27FC236}">
              <a16:creationId xmlns:a16="http://schemas.microsoft.com/office/drawing/2014/main" id="{8737C214-0EE5-4BCE-BD2F-27D660E2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71</xdr:row>
      <xdr:rowOff>9525</xdr:rowOff>
    </xdr:from>
    <xdr:ext cx="1" cy="381000"/>
    <xdr:pic>
      <xdr:nvPicPr>
        <xdr:cNvPr id="34" name="Picture 33" descr="SMK 8 ASLI.wmf">
          <a:extLst>
            <a:ext uri="{FF2B5EF4-FFF2-40B4-BE49-F238E27FC236}">
              <a16:creationId xmlns:a16="http://schemas.microsoft.com/office/drawing/2014/main" id="{B702FB30-EFE7-4B46-92F9-0BF8867B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70</xdr:row>
      <xdr:rowOff>9525</xdr:rowOff>
    </xdr:from>
    <xdr:ext cx="1" cy="381000"/>
    <xdr:pic>
      <xdr:nvPicPr>
        <xdr:cNvPr id="35" name="Picture 34" descr="SMK 8 ASLI.wmf">
          <a:extLst>
            <a:ext uri="{FF2B5EF4-FFF2-40B4-BE49-F238E27FC236}">
              <a16:creationId xmlns:a16="http://schemas.microsoft.com/office/drawing/2014/main" id="{61109FFE-9737-488A-8B3A-D1E1BF71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311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71</xdr:row>
      <xdr:rowOff>0</xdr:rowOff>
    </xdr:from>
    <xdr:ext cx="4310" cy="390525"/>
    <xdr:pic>
      <xdr:nvPicPr>
        <xdr:cNvPr id="36" name="Picture 35" descr="SMK 8 ASLI.wmf">
          <a:extLst>
            <a:ext uri="{FF2B5EF4-FFF2-40B4-BE49-F238E27FC236}">
              <a16:creationId xmlns:a16="http://schemas.microsoft.com/office/drawing/2014/main" id="{A81F4FD6-9A60-445D-9F7B-67320722C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403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118</xdr:row>
      <xdr:rowOff>0</xdr:rowOff>
    </xdr:from>
    <xdr:to>
      <xdr:col>22</xdr:col>
      <xdr:colOff>1</xdr:colOff>
      <xdr:row>120</xdr:row>
      <xdr:rowOff>3719</xdr:rowOff>
    </xdr:to>
    <xdr:pic>
      <xdr:nvPicPr>
        <xdr:cNvPr id="37" name="Picture 36" descr="SMK 8 ASLI.wmf">
          <a:extLst>
            <a:ext uri="{FF2B5EF4-FFF2-40B4-BE49-F238E27FC236}">
              <a16:creationId xmlns:a16="http://schemas.microsoft.com/office/drawing/2014/main" id="{4E961769-3B1A-420A-A83F-D59009143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118</xdr:row>
      <xdr:rowOff>0</xdr:rowOff>
    </xdr:from>
    <xdr:ext cx="1" cy="381000"/>
    <xdr:pic>
      <xdr:nvPicPr>
        <xdr:cNvPr id="38" name="Picture 37" descr="SMK 8 ASLI.wmf">
          <a:extLst>
            <a:ext uri="{FF2B5EF4-FFF2-40B4-BE49-F238E27FC236}">
              <a16:creationId xmlns:a16="http://schemas.microsoft.com/office/drawing/2014/main" id="{5049AC52-89C9-414B-89A7-0667BED22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118</xdr:row>
      <xdr:rowOff>0</xdr:rowOff>
    </xdr:from>
    <xdr:ext cx="4310" cy="390525"/>
    <xdr:pic>
      <xdr:nvPicPr>
        <xdr:cNvPr id="39" name="Picture 38" descr="SMK 8 ASLI.wmf">
          <a:extLst>
            <a:ext uri="{FF2B5EF4-FFF2-40B4-BE49-F238E27FC236}">
              <a16:creationId xmlns:a16="http://schemas.microsoft.com/office/drawing/2014/main" id="{0FA835A8-046B-45A2-A49D-29AD24C4A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181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118</xdr:row>
      <xdr:rowOff>0</xdr:rowOff>
    </xdr:from>
    <xdr:ext cx="1" cy="381000"/>
    <xdr:pic>
      <xdr:nvPicPr>
        <xdr:cNvPr id="40" name="Picture 39" descr="SMK 8 ASLI.wmf">
          <a:extLst>
            <a:ext uri="{FF2B5EF4-FFF2-40B4-BE49-F238E27FC236}">
              <a16:creationId xmlns:a16="http://schemas.microsoft.com/office/drawing/2014/main" id="{41638F02-24DE-423E-A405-2BF5A7B7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118</xdr:row>
      <xdr:rowOff>0</xdr:rowOff>
    </xdr:from>
    <xdr:ext cx="1" cy="381000"/>
    <xdr:pic>
      <xdr:nvPicPr>
        <xdr:cNvPr id="41" name="Picture 40" descr="SMK 8 ASLI.wmf">
          <a:extLst>
            <a:ext uri="{FF2B5EF4-FFF2-40B4-BE49-F238E27FC236}">
              <a16:creationId xmlns:a16="http://schemas.microsoft.com/office/drawing/2014/main" id="{149B82C6-118D-440A-A49D-F13F427E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118</xdr:row>
      <xdr:rowOff>0</xdr:rowOff>
    </xdr:from>
    <xdr:ext cx="4310" cy="390525"/>
    <xdr:pic>
      <xdr:nvPicPr>
        <xdr:cNvPr id="42" name="Picture 41" descr="SMK 8 ASLI.wmf">
          <a:extLst>
            <a:ext uri="{FF2B5EF4-FFF2-40B4-BE49-F238E27FC236}">
              <a16:creationId xmlns:a16="http://schemas.microsoft.com/office/drawing/2014/main" id="{D0B025D2-E7EB-4621-B37F-D36D9258A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181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118</xdr:row>
      <xdr:rowOff>0</xdr:rowOff>
    </xdr:from>
    <xdr:ext cx="1" cy="381000"/>
    <xdr:pic>
      <xdr:nvPicPr>
        <xdr:cNvPr id="43" name="Picture 42" descr="SMK 8 ASLI.wmf">
          <a:extLst>
            <a:ext uri="{FF2B5EF4-FFF2-40B4-BE49-F238E27FC236}">
              <a16:creationId xmlns:a16="http://schemas.microsoft.com/office/drawing/2014/main" id="{714B5CBC-EB61-4C05-8FFF-F4E52152B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118</xdr:row>
      <xdr:rowOff>0</xdr:rowOff>
    </xdr:from>
    <xdr:ext cx="1" cy="381000"/>
    <xdr:pic>
      <xdr:nvPicPr>
        <xdr:cNvPr id="44" name="Picture 43" descr="SMK 8 ASLI.wmf">
          <a:extLst>
            <a:ext uri="{FF2B5EF4-FFF2-40B4-BE49-F238E27FC236}">
              <a16:creationId xmlns:a16="http://schemas.microsoft.com/office/drawing/2014/main" id="{45417778-FF2A-4ACB-9F98-C135A51F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118</xdr:row>
      <xdr:rowOff>0</xdr:rowOff>
    </xdr:from>
    <xdr:ext cx="4310" cy="390525"/>
    <xdr:pic>
      <xdr:nvPicPr>
        <xdr:cNvPr id="45" name="Picture 44" descr="SMK 8 ASLI.wmf">
          <a:extLst>
            <a:ext uri="{FF2B5EF4-FFF2-40B4-BE49-F238E27FC236}">
              <a16:creationId xmlns:a16="http://schemas.microsoft.com/office/drawing/2014/main" id="{99C6CB19-0950-4A7E-ABAE-43605A51D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181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130</xdr:row>
      <xdr:rowOff>9525</xdr:rowOff>
    </xdr:from>
    <xdr:ext cx="1" cy="381000"/>
    <xdr:pic>
      <xdr:nvPicPr>
        <xdr:cNvPr id="46" name="Picture 45" descr="SMK 8 ASLI.wmf">
          <a:extLst>
            <a:ext uri="{FF2B5EF4-FFF2-40B4-BE49-F238E27FC236}">
              <a16:creationId xmlns:a16="http://schemas.microsoft.com/office/drawing/2014/main" id="{25B05D67-4BC6-4D6C-B41C-AEFCF140B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129</xdr:row>
      <xdr:rowOff>9525</xdr:rowOff>
    </xdr:from>
    <xdr:ext cx="1" cy="381000"/>
    <xdr:pic>
      <xdr:nvPicPr>
        <xdr:cNvPr id="47" name="Picture 46" descr="SMK 8 ASLI.wmf">
          <a:extLst>
            <a:ext uri="{FF2B5EF4-FFF2-40B4-BE49-F238E27FC236}">
              <a16:creationId xmlns:a16="http://schemas.microsoft.com/office/drawing/2014/main" id="{B32EE5AC-DCA6-4CD9-BBD4-E294E01F0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130</xdr:row>
      <xdr:rowOff>0</xdr:rowOff>
    </xdr:from>
    <xdr:ext cx="4310" cy="390525"/>
    <xdr:pic>
      <xdr:nvPicPr>
        <xdr:cNvPr id="48" name="Picture 47" descr="SMK 8 ASLI.wmf">
          <a:extLst>
            <a:ext uri="{FF2B5EF4-FFF2-40B4-BE49-F238E27FC236}">
              <a16:creationId xmlns:a16="http://schemas.microsoft.com/office/drawing/2014/main" id="{0154CD40-C4B3-4D1B-B038-CB8804A84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181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130</xdr:row>
      <xdr:rowOff>9525</xdr:rowOff>
    </xdr:from>
    <xdr:ext cx="1" cy="381000"/>
    <xdr:pic>
      <xdr:nvPicPr>
        <xdr:cNvPr id="49" name="Picture 48" descr="SMK 8 ASLI.wmf">
          <a:extLst>
            <a:ext uri="{FF2B5EF4-FFF2-40B4-BE49-F238E27FC236}">
              <a16:creationId xmlns:a16="http://schemas.microsoft.com/office/drawing/2014/main" id="{E776C6D4-8247-4E23-8347-4DE7296B0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129</xdr:row>
      <xdr:rowOff>9525</xdr:rowOff>
    </xdr:from>
    <xdr:ext cx="1" cy="381000"/>
    <xdr:pic>
      <xdr:nvPicPr>
        <xdr:cNvPr id="50" name="Picture 49" descr="SMK 8 ASLI.wmf">
          <a:extLst>
            <a:ext uri="{FF2B5EF4-FFF2-40B4-BE49-F238E27FC236}">
              <a16:creationId xmlns:a16="http://schemas.microsoft.com/office/drawing/2014/main" id="{B7D833E4-3156-4985-9D30-715191B10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130</xdr:row>
      <xdr:rowOff>0</xdr:rowOff>
    </xdr:from>
    <xdr:ext cx="4310" cy="390525"/>
    <xdr:pic>
      <xdr:nvPicPr>
        <xdr:cNvPr id="51" name="Picture 50" descr="SMK 8 ASLI.wmf">
          <a:extLst>
            <a:ext uri="{FF2B5EF4-FFF2-40B4-BE49-F238E27FC236}">
              <a16:creationId xmlns:a16="http://schemas.microsoft.com/office/drawing/2014/main" id="{DE8035E0-376C-45C0-AF28-6A8901170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181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117</xdr:row>
      <xdr:rowOff>139791</xdr:rowOff>
    </xdr:from>
    <xdr:to>
      <xdr:col>24</xdr:col>
      <xdr:colOff>57150</xdr:colOff>
      <xdr:row>124</xdr:row>
      <xdr:rowOff>1481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4354D17-D1C9-4C8E-ABED-048DBD0EC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28391"/>
          <a:ext cx="9056370" cy="1157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118</xdr:row>
      <xdr:rowOff>0</xdr:rowOff>
    </xdr:from>
    <xdr:ext cx="1" cy="381000"/>
    <xdr:pic>
      <xdr:nvPicPr>
        <xdr:cNvPr id="53" name="Picture 52" descr="SMK 8 ASLI.wmf">
          <a:extLst>
            <a:ext uri="{FF2B5EF4-FFF2-40B4-BE49-F238E27FC236}">
              <a16:creationId xmlns:a16="http://schemas.microsoft.com/office/drawing/2014/main" id="{ED26C697-2EB5-4370-971D-74EEB5F3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118</xdr:row>
      <xdr:rowOff>0</xdr:rowOff>
    </xdr:from>
    <xdr:ext cx="1" cy="381000"/>
    <xdr:pic>
      <xdr:nvPicPr>
        <xdr:cNvPr id="54" name="Picture 53" descr="SMK 8 ASLI.wmf">
          <a:extLst>
            <a:ext uri="{FF2B5EF4-FFF2-40B4-BE49-F238E27FC236}">
              <a16:creationId xmlns:a16="http://schemas.microsoft.com/office/drawing/2014/main" id="{3D62E5A1-61CB-45D7-8CFC-E678059E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118</xdr:row>
      <xdr:rowOff>0</xdr:rowOff>
    </xdr:from>
    <xdr:ext cx="4310" cy="390525"/>
    <xdr:pic>
      <xdr:nvPicPr>
        <xdr:cNvPr id="55" name="Picture 54" descr="SMK 8 ASLI.wmf">
          <a:extLst>
            <a:ext uri="{FF2B5EF4-FFF2-40B4-BE49-F238E27FC236}">
              <a16:creationId xmlns:a16="http://schemas.microsoft.com/office/drawing/2014/main" id="{B4B6EE0A-93A7-4C62-951C-DE905BC39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181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129</xdr:row>
      <xdr:rowOff>9525</xdr:rowOff>
    </xdr:from>
    <xdr:ext cx="1" cy="381000"/>
    <xdr:pic>
      <xdr:nvPicPr>
        <xdr:cNvPr id="56" name="Picture 55" descr="SMK 8 ASLI.wmf">
          <a:extLst>
            <a:ext uri="{FF2B5EF4-FFF2-40B4-BE49-F238E27FC236}">
              <a16:creationId xmlns:a16="http://schemas.microsoft.com/office/drawing/2014/main" id="{8CBA0DBE-2B53-4F2D-98D6-2BA560B48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129</xdr:row>
      <xdr:rowOff>9525</xdr:rowOff>
    </xdr:from>
    <xdr:ext cx="1" cy="381000"/>
    <xdr:pic>
      <xdr:nvPicPr>
        <xdr:cNvPr id="57" name="Picture 56" descr="SMK 8 ASLI.wmf">
          <a:extLst>
            <a:ext uri="{FF2B5EF4-FFF2-40B4-BE49-F238E27FC236}">
              <a16:creationId xmlns:a16="http://schemas.microsoft.com/office/drawing/2014/main" id="{25CC3DE9-483B-4653-9C53-77139D5D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129</xdr:row>
      <xdr:rowOff>9525</xdr:rowOff>
    </xdr:from>
    <xdr:ext cx="1" cy="381000"/>
    <xdr:pic>
      <xdr:nvPicPr>
        <xdr:cNvPr id="58" name="Picture 57" descr="SMK 8 ASLI.wmf">
          <a:extLst>
            <a:ext uri="{FF2B5EF4-FFF2-40B4-BE49-F238E27FC236}">
              <a16:creationId xmlns:a16="http://schemas.microsoft.com/office/drawing/2014/main" id="{7CEB082F-8A75-47BD-A607-2BE778306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0895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281395</xdr:colOff>
      <xdr:row>175</xdr:row>
      <xdr:rowOff>155575</xdr:rowOff>
    </xdr:from>
    <xdr:to>
      <xdr:col>23</xdr:col>
      <xdr:colOff>25672</xdr:colOff>
      <xdr:row>181</xdr:row>
      <xdr:rowOff>91440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A1925B9-9F23-4D21-9DD5-84B0532F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95" y="34567495"/>
          <a:ext cx="8560617" cy="1170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188</xdr:row>
      <xdr:rowOff>9525</xdr:rowOff>
    </xdr:from>
    <xdr:to>
      <xdr:col>22</xdr:col>
      <xdr:colOff>1</xdr:colOff>
      <xdr:row>190</xdr:row>
      <xdr:rowOff>19051</xdr:rowOff>
    </xdr:to>
    <xdr:pic>
      <xdr:nvPicPr>
        <xdr:cNvPr id="60" name="Picture 59" descr="SMK 8 ASLI.wmf">
          <a:extLst>
            <a:ext uri="{FF2B5EF4-FFF2-40B4-BE49-F238E27FC236}">
              <a16:creationId xmlns:a16="http://schemas.microsoft.com/office/drawing/2014/main" id="{D0CE0787-61DF-4CE6-B61C-9E6AC2AB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6638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187</xdr:row>
      <xdr:rowOff>9525</xdr:rowOff>
    </xdr:from>
    <xdr:ext cx="1" cy="381000"/>
    <xdr:pic>
      <xdr:nvPicPr>
        <xdr:cNvPr id="61" name="Picture 60" descr="SMK 8 ASLI.wmf">
          <a:extLst>
            <a:ext uri="{FF2B5EF4-FFF2-40B4-BE49-F238E27FC236}">
              <a16:creationId xmlns:a16="http://schemas.microsoft.com/office/drawing/2014/main" id="{1DF5ADBD-6080-4D42-B5DD-B9E67BAF6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466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188</xdr:row>
      <xdr:rowOff>0</xdr:rowOff>
    </xdr:from>
    <xdr:ext cx="4310" cy="390525"/>
    <xdr:pic>
      <xdr:nvPicPr>
        <xdr:cNvPr id="62" name="Picture 61" descr="SMK 8 ASLI.wmf">
          <a:extLst>
            <a:ext uri="{FF2B5EF4-FFF2-40B4-BE49-F238E27FC236}">
              <a16:creationId xmlns:a16="http://schemas.microsoft.com/office/drawing/2014/main" id="{A62C627F-11D7-4ED9-9F4F-662C3AE9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26543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187</xdr:row>
      <xdr:rowOff>9525</xdr:rowOff>
    </xdr:from>
    <xdr:ext cx="1" cy="381000"/>
    <xdr:pic>
      <xdr:nvPicPr>
        <xdr:cNvPr id="63" name="Picture 62" descr="SMK 8 ASLI.wmf">
          <a:extLst>
            <a:ext uri="{FF2B5EF4-FFF2-40B4-BE49-F238E27FC236}">
              <a16:creationId xmlns:a16="http://schemas.microsoft.com/office/drawing/2014/main" id="{1BE41D4D-DEFA-4862-9060-80BB2FE8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466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186</xdr:row>
      <xdr:rowOff>9525</xdr:rowOff>
    </xdr:from>
    <xdr:ext cx="1" cy="381000"/>
    <xdr:pic>
      <xdr:nvPicPr>
        <xdr:cNvPr id="64" name="Picture 63" descr="SMK 8 ASLI.wmf">
          <a:extLst>
            <a:ext uri="{FF2B5EF4-FFF2-40B4-BE49-F238E27FC236}">
              <a16:creationId xmlns:a16="http://schemas.microsoft.com/office/drawing/2014/main" id="{96AC5447-3441-4331-BA71-D573EA211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270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187</xdr:row>
      <xdr:rowOff>0</xdr:rowOff>
    </xdr:from>
    <xdr:ext cx="4310" cy="390525"/>
    <xdr:pic>
      <xdr:nvPicPr>
        <xdr:cNvPr id="65" name="Picture 64" descr="SMK 8 ASLI.wmf">
          <a:extLst>
            <a:ext uri="{FF2B5EF4-FFF2-40B4-BE49-F238E27FC236}">
              <a16:creationId xmlns:a16="http://schemas.microsoft.com/office/drawing/2014/main" id="{464E8CFA-8479-4C05-A920-BCB401151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2457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253</xdr:row>
      <xdr:rowOff>0</xdr:rowOff>
    </xdr:from>
    <xdr:to>
      <xdr:col>22</xdr:col>
      <xdr:colOff>1</xdr:colOff>
      <xdr:row>255</xdr:row>
      <xdr:rowOff>1</xdr:rowOff>
    </xdr:to>
    <xdr:pic>
      <xdr:nvPicPr>
        <xdr:cNvPr id="66" name="Picture 65" descr="SMK 8 ASLI.wmf">
          <a:extLst>
            <a:ext uri="{FF2B5EF4-FFF2-40B4-BE49-F238E27FC236}">
              <a16:creationId xmlns:a16="http://schemas.microsoft.com/office/drawing/2014/main" id="{1CF537E1-6BC6-41B3-9978-0ED716A4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253</xdr:row>
      <xdr:rowOff>0</xdr:rowOff>
    </xdr:from>
    <xdr:ext cx="1" cy="381000"/>
    <xdr:pic>
      <xdr:nvPicPr>
        <xdr:cNvPr id="67" name="Picture 66" descr="SMK 8 ASLI.wmf">
          <a:extLst>
            <a:ext uri="{FF2B5EF4-FFF2-40B4-BE49-F238E27FC236}">
              <a16:creationId xmlns:a16="http://schemas.microsoft.com/office/drawing/2014/main" id="{0CFFAA25-1393-4FAA-BCEC-1D6688FBC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253</xdr:row>
      <xdr:rowOff>0</xdr:rowOff>
    </xdr:from>
    <xdr:ext cx="4310" cy="390525"/>
    <xdr:pic>
      <xdr:nvPicPr>
        <xdr:cNvPr id="68" name="Picture 67" descr="SMK 8 ASLI.wmf">
          <a:extLst>
            <a:ext uri="{FF2B5EF4-FFF2-40B4-BE49-F238E27FC236}">
              <a16:creationId xmlns:a16="http://schemas.microsoft.com/office/drawing/2014/main" id="{90900E37-1A3C-4194-8731-10DBBDD24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244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267</xdr:row>
      <xdr:rowOff>9525</xdr:rowOff>
    </xdr:from>
    <xdr:ext cx="1" cy="381000"/>
    <xdr:pic>
      <xdr:nvPicPr>
        <xdr:cNvPr id="69" name="Picture 68" descr="SMK 8 ASLI.wmf">
          <a:extLst>
            <a:ext uri="{FF2B5EF4-FFF2-40B4-BE49-F238E27FC236}">
              <a16:creationId xmlns:a16="http://schemas.microsoft.com/office/drawing/2014/main" id="{CC033CCC-C52A-490B-B184-5128A68E6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3203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266</xdr:row>
      <xdr:rowOff>9525</xdr:rowOff>
    </xdr:from>
    <xdr:ext cx="1" cy="381000"/>
    <xdr:pic>
      <xdr:nvPicPr>
        <xdr:cNvPr id="70" name="Picture 69" descr="SMK 8 ASLI.wmf">
          <a:extLst>
            <a:ext uri="{FF2B5EF4-FFF2-40B4-BE49-F238E27FC236}">
              <a16:creationId xmlns:a16="http://schemas.microsoft.com/office/drawing/2014/main" id="{9E2B10D9-7188-4F66-8E50-3B2311F4B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267</xdr:row>
      <xdr:rowOff>0</xdr:rowOff>
    </xdr:from>
    <xdr:ext cx="4310" cy="390525"/>
    <xdr:pic>
      <xdr:nvPicPr>
        <xdr:cNvPr id="71" name="Picture 70" descr="SMK 8 ASLI.wmf">
          <a:extLst>
            <a:ext uri="{FF2B5EF4-FFF2-40B4-BE49-F238E27FC236}">
              <a16:creationId xmlns:a16="http://schemas.microsoft.com/office/drawing/2014/main" id="{848BF262-E1F4-4509-85E8-65E440FA1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24451" y="31940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252</xdr:row>
      <xdr:rowOff>120560</xdr:rowOff>
    </xdr:from>
    <xdr:to>
      <xdr:col>24</xdr:col>
      <xdr:colOff>49167</xdr:colOff>
      <xdr:row>259</xdr:row>
      <xdr:rowOff>68580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085F459-6DFF-45AB-B73E-F27B79A8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95240"/>
          <a:ext cx="9048387" cy="124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253</xdr:row>
      <xdr:rowOff>0</xdr:rowOff>
    </xdr:from>
    <xdr:ext cx="1" cy="381000"/>
    <xdr:pic>
      <xdr:nvPicPr>
        <xdr:cNvPr id="73" name="Picture 72" descr="SMK 8 ASLI.wmf">
          <a:extLst>
            <a:ext uri="{FF2B5EF4-FFF2-40B4-BE49-F238E27FC236}">
              <a16:creationId xmlns:a16="http://schemas.microsoft.com/office/drawing/2014/main" id="{34E34CB2-017B-4BAA-91A8-072A55EDF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253</xdr:row>
      <xdr:rowOff>0</xdr:rowOff>
    </xdr:from>
    <xdr:ext cx="1" cy="381000"/>
    <xdr:pic>
      <xdr:nvPicPr>
        <xdr:cNvPr id="74" name="Picture 73" descr="SMK 8 ASLI.wmf">
          <a:extLst>
            <a:ext uri="{FF2B5EF4-FFF2-40B4-BE49-F238E27FC236}">
              <a16:creationId xmlns:a16="http://schemas.microsoft.com/office/drawing/2014/main" id="{5989FD3A-D5AF-4252-A4EE-15409F280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253</xdr:row>
      <xdr:rowOff>0</xdr:rowOff>
    </xdr:from>
    <xdr:ext cx="4310" cy="390525"/>
    <xdr:pic>
      <xdr:nvPicPr>
        <xdr:cNvPr id="75" name="Picture 74" descr="SMK 8 ASLI.wmf">
          <a:extLst>
            <a:ext uri="{FF2B5EF4-FFF2-40B4-BE49-F238E27FC236}">
              <a16:creationId xmlns:a16="http://schemas.microsoft.com/office/drawing/2014/main" id="{28074420-3265-419C-82EF-1E17F4701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244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267</xdr:row>
      <xdr:rowOff>9525</xdr:rowOff>
    </xdr:from>
    <xdr:ext cx="1" cy="381000"/>
    <xdr:pic>
      <xdr:nvPicPr>
        <xdr:cNvPr id="76" name="Picture 75" descr="SMK 8 ASLI.wmf">
          <a:extLst>
            <a:ext uri="{FF2B5EF4-FFF2-40B4-BE49-F238E27FC236}">
              <a16:creationId xmlns:a16="http://schemas.microsoft.com/office/drawing/2014/main" id="{B26583B9-A78B-493E-88F4-7F86687E6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3203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266</xdr:row>
      <xdr:rowOff>9525</xdr:rowOff>
    </xdr:from>
    <xdr:ext cx="1" cy="381000"/>
    <xdr:pic>
      <xdr:nvPicPr>
        <xdr:cNvPr id="77" name="Picture 76" descr="SMK 8 ASLI.wmf">
          <a:extLst>
            <a:ext uri="{FF2B5EF4-FFF2-40B4-BE49-F238E27FC236}">
              <a16:creationId xmlns:a16="http://schemas.microsoft.com/office/drawing/2014/main" id="{DECBDB1D-56F8-4936-94C4-8339F0A9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267</xdr:row>
      <xdr:rowOff>0</xdr:rowOff>
    </xdr:from>
    <xdr:ext cx="4310" cy="390525"/>
    <xdr:pic>
      <xdr:nvPicPr>
        <xdr:cNvPr id="78" name="Picture 77" descr="SMK 8 ASLI.wmf">
          <a:extLst>
            <a:ext uri="{FF2B5EF4-FFF2-40B4-BE49-F238E27FC236}">
              <a16:creationId xmlns:a16="http://schemas.microsoft.com/office/drawing/2014/main" id="{111A3CD0-903B-4213-B19B-9DF3667C2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24451" y="31940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266</xdr:row>
      <xdr:rowOff>9525</xdr:rowOff>
    </xdr:from>
    <xdr:ext cx="1" cy="381000"/>
    <xdr:pic>
      <xdr:nvPicPr>
        <xdr:cNvPr id="79" name="Picture 78" descr="SMK 8 ASLI.wmf">
          <a:extLst>
            <a:ext uri="{FF2B5EF4-FFF2-40B4-BE49-F238E27FC236}">
              <a16:creationId xmlns:a16="http://schemas.microsoft.com/office/drawing/2014/main" id="{A8CF7CA4-D72B-43C2-A0C0-85E644457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265</xdr:row>
      <xdr:rowOff>9525</xdr:rowOff>
    </xdr:from>
    <xdr:ext cx="1" cy="381000"/>
    <xdr:pic>
      <xdr:nvPicPr>
        <xdr:cNvPr id="80" name="Picture 79" descr="SMK 8 ASLI.wmf">
          <a:extLst>
            <a:ext uri="{FF2B5EF4-FFF2-40B4-BE49-F238E27FC236}">
              <a16:creationId xmlns:a16="http://schemas.microsoft.com/office/drawing/2014/main" id="{744A2E81-CABB-401A-AC88-AAFF11B62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115300" y="2822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266</xdr:row>
      <xdr:rowOff>0</xdr:rowOff>
    </xdr:from>
    <xdr:ext cx="4310" cy="390525"/>
    <xdr:pic>
      <xdr:nvPicPr>
        <xdr:cNvPr id="81" name="Picture 80" descr="SMK 8 ASLI.wmf">
          <a:extLst>
            <a:ext uri="{FF2B5EF4-FFF2-40B4-BE49-F238E27FC236}">
              <a16:creationId xmlns:a16="http://schemas.microsoft.com/office/drawing/2014/main" id="{87F68252-04DC-465E-AA8D-441BC23F8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2445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317</xdr:row>
      <xdr:rowOff>0</xdr:rowOff>
    </xdr:from>
    <xdr:to>
      <xdr:col>22</xdr:col>
      <xdr:colOff>1</xdr:colOff>
      <xdr:row>319</xdr:row>
      <xdr:rowOff>1</xdr:rowOff>
    </xdr:to>
    <xdr:pic>
      <xdr:nvPicPr>
        <xdr:cNvPr id="82" name="Picture 81" descr="SMK 8 ASLI.wmf">
          <a:extLst>
            <a:ext uri="{FF2B5EF4-FFF2-40B4-BE49-F238E27FC236}">
              <a16:creationId xmlns:a16="http://schemas.microsoft.com/office/drawing/2014/main" id="{834BF0BE-7783-4506-9E2E-CC551351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317</xdr:row>
      <xdr:rowOff>0</xdr:rowOff>
    </xdr:from>
    <xdr:ext cx="1" cy="381000"/>
    <xdr:pic>
      <xdr:nvPicPr>
        <xdr:cNvPr id="83" name="Picture 82" descr="SMK 8 ASLI.wmf">
          <a:extLst>
            <a:ext uri="{FF2B5EF4-FFF2-40B4-BE49-F238E27FC236}">
              <a16:creationId xmlns:a16="http://schemas.microsoft.com/office/drawing/2014/main" id="{A86D8CFD-5B9A-4786-BC0F-6840B742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317</xdr:row>
      <xdr:rowOff>0</xdr:rowOff>
    </xdr:from>
    <xdr:ext cx="4310" cy="390525"/>
    <xdr:pic>
      <xdr:nvPicPr>
        <xdr:cNvPr id="84" name="Picture 83" descr="SMK 8 ASLI.wmf">
          <a:extLst>
            <a:ext uri="{FF2B5EF4-FFF2-40B4-BE49-F238E27FC236}">
              <a16:creationId xmlns:a16="http://schemas.microsoft.com/office/drawing/2014/main" id="{7EB9FE0F-5191-405C-A9BB-D2D848398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85" name="Picture 84" descr="SMK 8 ASLI.wmf">
          <a:extLst>
            <a:ext uri="{FF2B5EF4-FFF2-40B4-BE49-F238E27FC236}">
              <a16:creationId xmlns:a16="http://schemas.microsoft.com/office/drawing/2014/main" id="{FA549087-DECC-4054-9ACB-F412CEDC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86" name="Picture 85" descr="SMK 8 ASLI.wmf">
          <a:extLst>
            <a:ext uri="{FF2B5EF4-FFF2-40B4-BE49-F238E27FC236}">
              <a16:creationId xmlns:a16="http://schemas.microsoft.com/office/drawing/2014/main" id="{801727A5-BBF0-4870-A2BC-ECA76C799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317</xdr:row>
      <xdr:rowOff>0</xdr:rowOff>
    </xdr:from>
    <xdr:ext cx="4310" cy="390525"/>
    <xdr:pic>
      <xdr:nvPicPr>
        <xdr:cNvPr id="87" name="Picture 86" descr="SMK 8 ASLI.wmf">
          <a:extLst>
            <a:ext uri="{FF2B5EF4-FFF2-40B4-BE49-F238E27FC236}">
              <a16:creationId xmlns:a16="http://schemas.microsoft.com/office/drawing/2014/main" id="{2F7EF3D8-6527-484D-AB10-56B350D1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332</xdr:row>
      <xdr:rowOff>9525</xdr:rowOff>
    </xdr:from>
    <xdr:ext cx="1" cy="381000"/>
    <xdr:pic>
      <xdr:nvPicPr>
        <xdr:cNvPr id="88" name="Picture 87" descr="SMK 8 ASLI.wmf">
          <a:extLst>
            <a:ext uri="{FF2B5EF4-FFF2-40B4-BE49-F238E27FC236}">
              <a16:creationId xmlns:a16="http://schemas.microsoft.com/office/drawing/2014/main" id="{BA49E030-9CF4-446D-8564-038C4511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332</xdr:row>
      <xdr:rowOff>0</xdr:rowOff>
    </xdr:from>
    <xdr:ext cx="1" cy="381000"/>
    <xdr:pic>
      <xdr:nvPicPr>
        <xdr:cNvPr id="89" name="Picture 88" descr="SMK 8 ASLI.wmf">
          <a:extLst>
            <a:ext uri="{FF2B5EF4-FFF2-40B4-BE49-F238E27FC236}">
              <a16:creationId xmlns:a16="http://schemas.microsoft.com/office/drawing/2014/main" id="{4734B6EC-BF80-45B2-895A-2D108BBF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332</xdr:row>
      <xdr:rowOff>0</xdr:rowOff>
    </xdr:from>
    <xdr:ext cx="4310" cy="390525"/>
    <xdr:pic>
      <xdr:nvPicPr>
        <xdr:cNvPr id="90" name="Picture 89" descr="SMK 8 ASLI.wmf">
          <a:extLst>
            <a:ext uri="{FF2B5EF4-FFF2-40B4-BE49-F238E27FC236}">
              <a16:creationId xmlns:a16="http://schemas.microsoft.com/office/drawing/2014/main" id="{E1C8265C-9D96-488D-811D-CB540408D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144780</xdr:colOff>
      <xdr:row>317</xdr:row>
      <xdr:rowOff>102962</xdr:rowOff>
    </xdr:from>
    <xdr:to>
      <xdr:col>24</xdr:col>
      <xdr:colOff>204107</xdr:colOff>
      <xdr:row>324</xdr:row>
      <xdr:rowOff>155396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8FB0F64-6F37-4B7E-A4AF-4D90E3D22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61474442"/>
          <a:ext cx="9058547" cy="1332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317</xdr:row>
      <xdr:rowOff>0</xdr:rowOff>
    </xdr:from>
    <xdr:ext cx="1" cy="381000"/>
    <xdr:pic>
      <xdr:nvPicPr>
        <xdr:cNvPr id="92" name="Picture 91" descr="SMK 8 ASLI.wmf">
          <a:extLst>
            <a:ext uri="{FF2B5EF4-FFF2-40B4-BE49-F238E27FC236}">
              <a16:creationId xmlns:a16="http://schemas.microsoft.com/office/drawing/2014/main" id="{0757733C-A077-4E0D-A906-28BFE7123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93" name="Picture 92" descr="SMK 8 ASLI.wmf">
          <a:extLst>
            <a:ext uri="{FF2B5EF4-FFF2-40B4-BE49-F238E27FC236}">
              <a16:creationId xmlns:a16="http://schemas.microsoft.com/office/drawing/2014/main" id="{EB0CA25C-FA94-4C9A-8D12-33A3095B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317</xdr:row>
      <xdr:rowOff>0</xdr:rowOff>
    </xdr:from>
    <xdr:ext cx="4310" cy="390525"/>
    <xdr:pic>
      <xdr:nvPicPr>
        <xdr:cNvPr id="94" name="Picture 93" descr="SMK 8 ASLI.wmf">
          <a:extLst>
            <a:ext uri="{FF2B5EF4-FFF2-40B4-BE49-F238E27FC236}">
              <a16:creationId xmlns:a16="http://schemas.microsoft.com/office/drawing/2014/main" id="{220B5F74-DCB4-4B45-86AA-A397E337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95" name="Picture 94" descr="SMK 8 ASLI.wmf">
          <a:extLst>
            <a:ext uri="{FF2B5EF4-FFF2-40B4-BE49-F238E27FC236}">
              <a16:creationId xmlns:a16="http://schemas.microsoft.com/office/drawing/2014/main" id="{E07BB8FE-4B47-45DD-A074-B6F8D52A1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96" name="Picture 95" descr="SMK 8 ASLI.wmf">
          <a:extLst>
            <a:ext uri="{FF2B5EF4-FFF2-40B4-BE49-F238E27FC236}">
              <a16:creationId xmlns:a16="http://schemas.microsoft.com/office/drawing/2014/main" id="{10A4F172-2B18-448E-811F-893453F9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317</xdr:row>
      <xdr:rowOff>0</xdr:rowOff>
    </xdr:from>
    <xdr:ext cx="4310" cy="390525"/>
    <xdr:pic>
      <xdr:nvPicPr>
        <xdr:cNvPr id="97" name="Picture 96" descr="SMK 8 ASLI.wmf">
          <a:extLst>
            <a:ext uri="{FF2B5EF4-FFF2-40B4-BE49-F238E27FC236}">
              <a16:creationId xmlns:a16="http://schemas.microsoft.com/office/drawing/2014/main" id="{53A7A660-DF64-49DF-AB6E-EDF441C36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98" name="Picture 97" descr="SMK 8 ASLI.wmf">
          <a:extLst>
            <a:ext uri="{FF2B5EF4-FFF2-40B4-BE49-F238E27FC236}">
              <a16:creationId xmlns:a16="http://schemas.microsoft.com/office/drawing/2014/main" id="{641B5F3B-E7B0-4642-8DC5-59B37F55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317</xdr:row>
      <xdr:rowOff>0</xdr:rowOff>
    </xdr:from>
    <xdr:ext cx="1" cy="381000"/>
    <xdr:pic>
      <xdr:nvPicPr>
        <xdr:cNvPr id="99" name="Picture 98" descr="SMK 8 ASLI.wmf">
          <a:extLst>
            <a:ext uri="{FF2B5EF4-FFF2-40B4-BE49-F238E27FC236}">
              <a16:creationId xmlns:a16="http://schemas.microsoft.com/office/drawing/2014/main" id="{47272F38-8332-4A8C-8EAE-07C2B098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317</xdr:row>
      <xdr:rowOff>0</xdr:rowOff>
    </xdr:from>
    <xdr:ext cx="4310" cy="390525"/>
    <xdr:pic>
      <xdr:nvPicPr>
        <xdr:cNvPr id="100" name="Picture 99" descr="SMK 8 ASLI.wmf">
          <a:extLst>
            <a:ext uri="{FF2B5EF4-FFF2-40B4-BE49-F238E27FC236}">
              <a16:creationId xmlns:a16="http://schemas.microsoft.com/office/drawing/2014/main" id="{08987BE4-D9FC-4FA2-B90D-1F52261AB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332</xdr:row>
      <xdr:rowOff>0</xdr:rowOff>
    </xdr:from>
    <xdr:ext cx="1" cy="381000"/>
    <xdr:pic>
      <xdr:nvPicPr>
        <xdr:cNvPr id="101" name="Picture 100" descr="SMK 8 ASLI.wmf">
          <a:extLst>
            <a:ext uri="{FF2B5EF4-FFF2-40B4-BE49-F238E27FC236}">
              <a16:creationId xmlns:a16="http://schemas.microsoft.com/office/drawing/2014/main" id="{BC601B5B-7F2F-49DA-8BE1-112554EF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332</xdr:row>
      <xdr:rowOff>0</xdr:rowOff>
    </xdr:from>
    <xdr:ext cx="1" cy="381000"/>
    <xdr:pic>
      <xdr:nvPicPr>
        <xdr:cNvPr id="102" name="Picture 101" descr="SMK 8 ASLI.wmf">
          <a:extLst>
            <a:ext uri="{FF2B5EF4-FFF2-40B4-BE49-F238E27FC236}">
              <a16:creationId xmlns:a16="http://schemas.microsoft.com/office/drawing/2014/main" id="{4F73C1E6-B381-4D3C-9B0A-49D4210F4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332</xdr:row>
      <xdr:rowOff>0</xdr:rowOff>
    </xdr:from>
    <xdr:ext cx="1" cy="381000"/>
    <xdr:pic>
      <xdr:nvPicPr>
        <xdr:cNvPr id="103" name="Picture 102" descr="SMK 8 ASLI.wmf">
          <a:extLst>
            <a:ext uri="{FF2B5EF4-FFF2-40B4-BE49-F238E27FC236}">
              <a16:creationId xmlns:a16="http://schemas.microsoft.com/office/drawing/2014/main" id="{6D8D513B-8DA7-4FAC-B242-38D419879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331</xdr:row>
      <xdr:rowOff>9525</xdr:rowOff>
    </xdr:from>
    <xdr:ext cx="1" cy="381000"/>
    <xdr:pic>
      <xdr:nvPicPr>
        <xdr:cNvPr id="104" name="Picture 103" descr="SMK 8 ASLI.wmf">
          <a:extLst>
            <a:ext uri="{FF2B5EF4-FFF2-40B4-BE49-F238E27FC236}">
              <a16:creationId xmlns:a16="http://schemas.microsoft.com/office/drawing/2014/main" id="{D76BA505-EAEE-4288-9A8A-C4DF51302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13700" y="2638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332</xdr:row>
      <xdr:rowOff>0</xdr:rowOff>
    </xdr:from>
    <xdr:ext cx="4310" cy="390525"/>
    <xdr:pic>
      <xdr:nvPicPr>
        <xdr:cNvPr id="105" name="Picture 104" descr="SMK 8 ASLI.wmf">
          <a:extLst>
            <a:ext uri="{FF2B5EF4-FFF2-40B4-BE49-F238E27FC236}">
              <a16:creationId xmlns:a16="http://schemas.microsoft.com/office/drawing/2014/main" id="{F05336B8-910D-4D95-B753-01FC52B91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2851" y="28257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121920</xdr:colOff>
      <xdr:row>385</xdr:row>
      <xdr:rowOff>139609</xdr:rowOff>
    </xdr:from>
    <xdr:to>
      <xdr:col>24</xdr:col>
      <xdr:colOff>179070</xdr:colOff>
      <xdr:row>392</xdr:row>
      <xdr:rowOff>7620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D164052C-6E3F-419E-9AC5-853E6ECF1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74571769"/>
          <a:ext cx="8827770" cy="1148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398</xdr:row>
      <xdr:rowOff>9525</xdr:rowOff>
    </xdr:from>
    <xdr:to>
      <xdr:col>22</xdr:col>
      <xdr:colOff>1</xdr:colOff>
      <xdr:row>400</xdr:row>
      <xdr:rowOff>19049</xdr:rowOff>
    </xdr:to>
    <xdr:pic>
      <xdr:nvPicPr>
        <xdr:cNvPr id="107" name="Picture 106" descr="SMK 8 ASLI.wmf">
          <a:extLst>
            <a:ext uri="{FF2B5EF4-FFF2-40B4-BE49-F238E27FC236}">
              <a16:creationId xmlns:a16="http://schemas.microsoft.com/office/drawing/2014/main" id="{D8D5ACCA-71D5-4074-8074-9E395A3F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247967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397</xdr:row>
      <xdr:rowOff>9525</xdr:rowOff>
    </xdr:from>
    <xdr:ext cx="1" cy="381000"/>
    <xdr:pic>
      <xdr:nvPicPr>
        <xdr:cNvPr id="108" name="Picture 107" descr="SMK 8 ASLI.wmf">
          <a:extLst>
            <a:ext uri="{FF2B5EF4-FFF2-40B4-BE49-F238E27FC236}">
              <a16:creationId xmlns:a16="http://schemas.microsoft.com/office/drawing/2014/main" id="{D7AFE985-798C-4D42-9BD0-1BF788CD3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22828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398</xdr:row>
      <xdr:rowOff>0</xdr:rowOff>
    </xdr:from>
    <xdr:ext cx="4310" cy="390525"/>
    <xdr:pic>
      <xdr:nvPicPr>
        <xdr:cNvPr id="109" name="Picture 108" descr="SMK 8 ASLI.wmf">
          <a:extLst>
            <a:ext uri="{FF2B5EF4-FFF2-40B4-BE49-F238E27FC236}">
              <a16:creationId xmlns:a16="http://schemas.microsoft.com/office/drawing/2014/main" id="{2C9F3E8F-3E0C-4487-9CE4-519DB75FD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03801" y="24701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449</xdr:row>
      <xdr:rowOff>0</xdr:rowOff>
    </xdr:from>
    <xdr:to>
      <xdr:col>22</xdr:col>
      <xdr:colOff>1</xdr:colOff>
      <xdr:row>451</xdr:row>
      <xdr:rowOff>2268</xdr:rowOff>
    </xdr:to>
    <xdr:pic>
      <xdr:nvPicPr>
        <xdr:cNvPr id="110" name="Picture 109" descr="SMK 8 ASLI.wmf">
          <a:extLst>
            <a:ext uri="{FF2B5EF4-FFF2-40B4-BE49-F238E27FC236}">
              <a16:creationId xmlns:a16="http://schemas.microsoft.com/office/drawing/2014/main" id="{FBCD404C-77F7-4DC6-9C26-2872DA4C7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449</xdr:row>
      <xdr:rowOff>0</xdr:rowOff>
    </xdr:from>
    <xdr:ext cx="1" cy="381000"/>
    <xdr:pic>
      <xdr:nvPicPr>
        <xdr:cNvPr id="111" name="Picture 110" descr="SMK 8 ASLI.wmf">
          <a:extLst>
            <a:ext uri="{FF2B5EF4-FFF2-40B4-BE49-F238E27FC236}">
              <a16:creationId xmlns:a16="http://schemas.microsoft.com/office/drawing/2014/main" id="{7CE74CA4-3896-4579-B378-B76187C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449</xdr:row>
      <xdr:rowOff>0</xdr:rowOff>
    </xdr:from>
    <xdr:ext cx="4310" cy="390525"/>
    <xdr:pic>
      <xdr:nvPicPr>
        <xdr:cNvPr id="112" name="Picture 111" descr="SMK 8 ASLI.wmf">
          <a:extLst>
            <a:ext uri="{FF2B5EF4-FFF2-40B4-BE49-F238E27FC236}">
              <a16:creationId xmlns:a16="http://schemas.microsoft.com/office/drawing/2014/main" id="{416A9C21-5FE1-448A-ACAD-DC4066DFF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0380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461</xdr:row>
      <xdr:rowOff>9525</xdr:rowOff>
    </xdr:from>
    <xdr:ext cx="1" cy="381000"/>
    <xdr:pic>
      <xdr:nvPicPr>
        <xdr:cNvPr id="113" name="Picture 112" descr="SMK 8 ASLI.wmf">
          <a:extLst>
            <a:ext uri="{FF2B5EF4-FFF2-40B4-BE49-F238E27FC236}">
              <a16:creationId xmlns:a16="http://schemas.microsoft.com/office/drawing/2014/main" id="{19F286D8-E4E0-4A2D-8D7B-68F6D198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14" name="Picture 113" descr="SMK 8 ASLI.wmf">
          <a:extLst>
            <a:ext uri="{FF2B5EF4-FFF2-40B4-BE49-F238E27FC236}">
              <a16:creationId xmlns:a16="http://schemas.microsoft.com/office/drawing/2014/main" id="{2CF2D676-522C-4636-9101-49D958F2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461</xdr:row>
      <xdr:rowOff>0</xdr:rowOff>
    </xdr:from>
    <xdr:ext cx="4310" cy="390525"/>
    <xdr:pic>
      <xdr:nvPicPr>
        <xdr:cNvPr id="115" name="Picture 114" descr="SMK 8 ASLI.wmf">
          <a:extLst>
            <a:ext uri="{FF2B5EF4-FFF2-40B4-BE49-F238E27FC236}">
              <a16:creationId xmlns:a16="http://schemas.microsoft.com/office/drawing/2014/main" id="{272FAF33-D92D-4E80-81A3-A1058208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038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266517</xdr:colOff>
      <xdr:row>446</xdr:row>
      <xdr:rowOff>139791</xdr:rowOff>
    </xdr:from>
    <xdr:to>
      <xdr:col>24</xdr:col>
      <xdr:colOff>56151</xdr:colOff>
      <xdr:row>453</xdr:row>
      <xdr:rowOff>38100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196227F-8005-4533-911E-CC95C263A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517" y="86123871"/>
          <a:ext cx="8788854" cy="124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461</xdr:row>
      <xdr:rowOff>9525</xdr:rowOff>
    </xdr:from>
    <xdr:ext cx="1" cy="381000"/>
    <xdr:pic>
      <xdr:nvPicPr>
        <xdr:cNvPr id="117" name="Picture 116" descr="SMK 8 ASLI.wmf">
          <a:extLst>
            <a:ext uri="{FF2B5EF4-FFF2-40B4-BE49-F238E27FC236}">
              <a16:creationId xmlns:a16="http://schemas.microsoft.com/office/drawing/2014/main" id="{3240CF66-CA9C-489E-910C-F72B92A25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3019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18" name="Picture 117" descr="SMK 8 ASLI.wmf">
          <a:extLst>
            <a:ext uri="{FF2B5EF4-FFF2-40B4-BE49-F238E27FC236}">
              <a16:creationId xmlns:a16="http://schemas.microsoft.com/office/drawing/2014/main" id="{21788F2E-E143-4DB4-B9DB-B97616A92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994650" y="2835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461</xdr:row>
      <xdr:rowOff>0</xdr:rowOff>
    </xdr:from>
    <xdr:ext cx="4310" cy="390525"/>
    <xdr:pic>
      <xdr:nvPicPr>
        <xdr:cNvPr id="119" name="Picture 118" descr="SMK 8 ASLI.wmf">
          <a:extLst>
            <a:ext uri="{FF2B5EF4-FFF2-40B4-BE49-F238E27FC236}">
              <a16:creationId xmlns:a16="http://schemas.microsoft.com/office/drawing/2014/main" id="{C0E7AE00-CD6F-48A8-B928-FC29EC8B5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03801" y="3009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512</xdr:row>
      <xdr:rowOff>0</xdr:rowOff>
    </xdr:from>
    <xdr:to>
      <xdr:col>22</xdr:col>
      <xdr:colOff>1</xdr:colOff>
      <xdr:row>514</xdr:row>
      <xdr:rowOff>1</xdr:rowOff>
    </xdr:to>
    <xdr:pic>
      <xdr:nvPicPr>
        <xdr:cNvPr id="120" name="Picture 119" descr="SMK 8 ASLI.wmf">
          <a:extLst>
            <a:ext uri="{FF2B5EF4-FFF2-40B4-BE49-F238E27FC236}">
              <a16:creationId xmlns:a16="http://schemas.microsoft.com/office/drawing/2014/main" id="{5CB1D822-F53C-4849-AF21-78B3FC682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0"/>
          <a:ext cx="1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512</xdr:row>
      <xdr:rowOff>0</xdr:rowOff>
    </xdr:from>
    <xdr:ext cx="1" cy="381000"/>
    <xdr:pic>
      <xdr:nvPicPr>
        <xdr:cNvPr id="121" name="Picture 120" descr="SMK 8 ASLI.wmf">
          <a:extLst>
            <a:ext uri="{FF2B5EF4-FFF2-40B4-BE49-F238E27FC236}">
              <a16:creationId xmlns:a16="http://schemas.microsoft.com/office/drawing/2014/main" id="{04C9CA7A-9754-4696-BCE6-081A54E62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512</xdr:row>
      <xdr:rowOff>0</xdr:rowOff>
    </xdr:from>
    <xdr:ext cx="4310" cy="390525"/>
    <xdr:pic>
      <xdr:nvPicPr>
        <xdr:cNvPr id="122" name="Picture 121" descr="SMK 8 ASLI.wmf">
          <a:extLst>
            <a:ext uri="{FF2B5EF4-FFF2-40B4-BE49-F238E27FC236}">
              <a16:creationId xmlns:a16="http://schemas.microsoft.com/office/drawing/2014/main" id="{A40D3132-61E3-4E69-A549-E22ED5924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8577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512</xdr:row>
      <xdr:rowOff>0</xdr:rowOff>
    </xdr:from>
    <xdr:ext cx="1" cy="381000"/>
    <xdr:pic>
      <xdr:nvPicPr>
        <xdr:cNvPr id="123" name="Picture 122" descr="SMK 8 ASLI.wmf">
          <a:extLst>
            <a:ext uri="{FF2B5EF4-FFF2-40B4-BE49-F238E27FC236}">
              <a16:creationId xmlns:a16="http://schemas.microsoft.com/office/drawing/2014/main" id="{3801DD04-F035-4571-9EC7-AE9C1CC34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512</xdr:row>
      <xdr:rowOff>0</xdr:rowOff>
    </xdr:from>
    <xdr:ext cx="1" cy="381000"/>
    <xdr:pic>
      <xdr:nvPicPr>
        <xdr:cNvPr id="124" name="Picture 123" descr="SMK 8 ASLI.wmf">
          <a:extLst>
            <a:ext uri="{FF2B5EF4-FFF2-40B4-BE49-F238E27FC236}">
              <a16:creationId xmlns:a16="http://schemas.microsoft.com/office/drawing/2014/main" id="{0E935A31-6BF7-4380-8825-08C027F7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512</xdr:row>
      <xdr:rowOff>0</xdr:rowOff>
    </xdr:from>
    <xdr:ext cx="4310" cy="390525"/>
    <xdr:pic>
      <xdr:nvPicPr>
        <xdr:cNvPr id="125" name="Picture 124" descr="SMK 8 ASLI.wmf">
          <a:extLst>
            <a:ext uri="{FF2B5EF4-FFF2-40B4-BE49-F238E27FC236}">
              <a16:creationId xmlns:a16="http://schemas.microsoft.com/office/drawing/2014/main" id="{50E382A6-9127-46AB-8B9F-D7301178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8577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525</xdr:row>
      <xdr:rowOff>9525</xdr:rowOff>
    </xdr:from>
    <xdr:ext cx="1" cy="381000"/>
    <xdr:pic>
      <xdr:nvPicPr>
        <xdr:cNvPr id="126" name="Picture 125" descr="SMK 8 ASLI.wmf">
          <a:extLst>
            <a:ext uri="{FF2B5EF4-FFF2-40B4-BE49-F238E27FC236}">
              <a16:creationId xmlns:a16="http://schemas.microsoft.com/office/drawing/2014/main" id="{CF146A3D-82BE-4C7C-A8B4-1A3DE043D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26384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27" name="Picture 126" descr="SMK 8 ASLI.wmf">
          <a:extLst>
            <a:ext uri="{FF2B5EF4-FFF2-40B4-BE49-F238E27FC236}">
              <a16:creationId xmlns:a16="http://schemas.microsoft.com/office/drawing/2014/main" id="{63F111E4-5E2A-4FE4-B8EF-C604E251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2454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525</xdr:row>
      <xdr:rowOff>0</xdr:rowOff>
    </xdr:from>
    <xdr:ext cx="4310" cy="390525"/>
    <xdr:pic>
      <xdr:nvPicPr>
        <xdr:cNvPr id="128" name="Picture 127" descr="SMK 8 ASLI.wmf">
          <a:extLst>
            <a:ext uri="{FF2B5EF4-FFF2-40B4-BE49-F238E27FC236}">
              <a16:creationId xmlns:a16="http://schemas.microsoft.com/office/drawing/2014/main" id="{D61C0E17-267D-4AE0-B3A8-94B45ACD2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857751" y="2628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0</xdr:colOff>
      <xdr:row>511</xdr:row>
      <xdr:rowOff>37193</xdr:rowOff>
    </xdr:from>
    <xdr:to>
      <xdr:col>24</xdr:col>
      <xdr:colOff>57150</xdr:colOff>
      <xdr:row>517</xdr:row>
      <xdr:rowOff>160020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78DF6BF0-209A-4C95-BA1E-C1BBD755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71413"/>
          <a:ext cx="9056370" cy="1235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512</xdr:row>
      <xdr:rowOff>0</xdr:rowOff>
    </xdr:from>
    <xdr:ext cx="1" cy="381000"/>
    <xdr:pic>
      <xdr:nvPicPr>
        <xdr:cNvPr id="130" name="Picture 129" descr="SMK 8 ASLI.wmf">
          <a:extLst>
            <a:ext uri="{FF2B5EF4-FFF2-40B4-BE49-F238E27FC236}">
              <a16:creationId xmlns:a16="http://schemas.microsoft.com/office/drawing/2014/main" id="{F7BB7A46-1E4A-403F-AB1D-5A391EA81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512</xdr:row>
      <xdr:rowOff>0</xdr:rowOff>
    </xdr:from>
    <xdr:ext cx="1" cy="381000"/>
    <xdr:pic>
      <xdr:nvPicPr>
        <xdr:cNvPr id="131" name="Picture 130" descr="SMK 8 ASLI.wmf">
          <a:extLst>
            <a:ext uri="{FF2B5EF4-FFF2-40B4-BE49-F238E27FC236}">
              <a16:creationId xmlns:a16="http://schemas.microsoft.com/office/drawing/2014/main" id="{E5458177-1BD5-47F5-93B6-1461F06E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512</xdr:row>
      <xdr:rowOff>0</xdr:rowOff>
    </xdr:from>
    <xdr:ext cx="4310" cy="390525"/>
    <xdr:pic>
      <xdr:nvPicPr>
        <xdr:cNvPr id="132" name="Picture 131" descr="SMK 8 ASLI.wmf">
          <a:extLst>
            <a:ext uri="{FF2B5EF4-FFF2-40B4-BE49-F238E27FC236}">
              <a16:creationId xmlns:a16="http://schemas.microsoft.com/office/drawing/2014/main" id="{ED011B22-4416-4DAF-893B-A9E530E61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857751" y="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33" name="Picture 132" descr="SMK 8 ASLI.wmf">
          <a:extLst>
            <a:ext uri="{FF2B5EF4-FFF2-40B4-BE49-F238E27FC236}">
              <a16:creationId xmlns:a16="http://schemas.microsoft.com/office/drawing/2014/main" id="{D96E64F3-8162-4299-B6B6-9F1A1065B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2454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34" name="Picture 133" descr="SMK 8 ASLI.wmf">
          <a:extLst>
            <a:ext uri="{FF2B5EF4-FFF2-40B4-BE49-F238E27FC236}">
              <a16:creationId xmlns:a16="http://schemas.microsoft.com/office/drawing/2014/main" id="{CD285B0A-A61D-451D-86DB-1C8141DF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848600" y="24542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189049</xdr:colOff>
      <xdr:row>577</xdr:row>
      <xdr:rowOff>101329</xdr:rowOff>
    </xdr:from>
    <xdr:to>
      <xdr:col>23</xdr:col>
      <xdr:colOff>52978</xdr:colOff>
      <xdr:row>583</xdr:row>
      <xdr:rowOff>106681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0736A19-7BF5-4354-B96A-7026550CD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049" y="110842789"/>
          <a:ext cx="8680269" cy="1117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590</xdr:row>
      <xdr:rowOff>9525</xdr:rowOff>
    </xdr:from>
    <xdr:to>
      <xdr:col>22</xdr:col>
      <xdr:colOff>1</xdr:colOff>
      <xdr:row>592</xdr:row>
      <xdr:rowOff>19050</xdr:rowOff>
    </xdr:to>
    <xdr:pic>
      <xdr:nvPicPr>
        <xdr:cNvPr id="136" name="Picture 135" descr="SMK 8 ASLI.wmf">
          <a:extLst>
            <a:ext uri="{FF2B5EF4-FFF2-40B4-BE49-F238E27FC236}">
              <a16:creationId xmlns:a16="http://schemas.microsoft.com/office/drawing/2014/main" id="{4E55944F-EEB1-4845-A695-81DBED44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27654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589</xdr:row>
      <xdr:rowOff>9525</xdr:rowOff>
    </xdr:from>
    <xdr:ext cx="1" cy="381000"/>
    <xdr:pic>
      <xdr:nvPicPr>
        <xdr:cNvPr id="137" name="Picture 136" descr="SMK 8 ASLI.wmf">
          <a:extLst>
            <a:ext uri="{FF2B5EF4-FFF2-40B4-BE49-F238E27FC236}">
              <a16:creationId xmlns:a16="http://schemas.microsoft.com/office/drawing/2014/main" id="{AAC7E212-2353-45F0-8035-688455CF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25685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590</xdr:row>
      <xdr:rowOff>0</xdr:rowOff>
    </xdr:from>
    <xdr:ext cx="4310" cy="390525"/>
    <xdr:pic>
      <xdr:nvPicPr>
        <xdr:cNvPr id="138" name="Picture 137" descr="SMK 8 ASLI.wmf">
          <a:extLst>
            <a:ext uri="{FF2B5EF4-FFF2-40B4-BE49-F238E27FC236}">
              <a16:creationId xmlns:a16="http://schemas.microsoft.com/office/drawing/2014/main" id="{10485DA8-8D23-4F28-A7C3-B8281BFA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27559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649</xdr:row>
      <xdr:rowOff>0</xdr:rowOff>
    </xdr:from>
    <xdr:to>
      <xdr:col>22</xdr:col>
      <xdr:colOff>1</xdr:colOff>
      <xdr:row>651</xdr:row>
      <xdr:rowOff>9524</xdr:rowOff>
    </xdr:to>
    <xdr:pic>
      <xdr:nvPicPr>
        <xdr:cNvPr id="139" name="Picture 138" descr="SMK 8 ASLI.wmf">
          <a:extLst>
            <a:ext uri="{FF2B5EF4-FFF2-40B4-BE49-F238E27FC236}">
              <a16:creationId xmlns:a16="http://schemas.microsoft.com/office/drawing/2014/main" id="{382357E1-22FD-4BF2-B441-32C1A807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196850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22</xdr:col>
      <xdr:colOff>0</xdr:colOff>
      <xdr:row>649</xdr:row>
      <xdr:rowOff>0</xdr:rowOff>
    </xdr:from>
    <xdr:ext cx="1" cy="381000"/>
    <xdr:pic>
      <xdr:nvPicPr>
        <xdr:cNvPr id="140" name="Picture 139" descr="SMK 8 ASLI.wmf">
          <a:extLst>
            <a:ext uri="{FF2B5EF4-FFF2-40B4-BE49-F238E27FC236}">
              <a16:creationId xmlns:a16="http://schemas.microsoft.com/office/drawing/2014/main" id="{96AB179D-B935-4109-BF5F-D97777BAE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196850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649</xdr:row>
      <xdr:rowOff>0</xdr:rowOff>
    </xdr:from>
    <xdr:ext cx="4310" cy="390525"/>
    <xdr:pic>
      <xdr:nvPicPr>
        <xdr:cNvPr id="141" name="Picture 140" descr="SMK 8 ASLI.wmf">
          <a:extLst>
            <a:ext uri="{FF2B5EF4-FFF2-40B4-BE49-F238E27FC236}">
              <a16:creationId xmlns:a16="http://schemas.microsoft.com/office/drawing/2014/main" id="{2FD2D1CA-4664-4832-8F0C-88CCA1E7D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92651" y="1968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670</xdr:row>
      <xdr:rowOff>9525</xdr:rowOff>
    </xdr:from>
    <xdr:ext cx="1" cy="381000"/>
    <xdr:pic>
      <xdr:nvPicPr>
        <xdr:cNvPr id="142" name="Picture 141" descr="SMK 8 ASLI.wmf">
          <a:extLst>
            <a:ext uri="{FF2B5EF4-FFF2-40B4-BE49-F238E27FC236}">
              <a16:creationId xmlns:a16="http://schemas.microsoft.com/office/drawing/2014/main" id="{312BC8C7-5F19-4886-A055-5A80B98C1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3355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43" name="Picture 142" descr="SMK 8 ASLI.wmf">
          <a:extLst>
            <a:ext uri="{FF2B5EF4-FFF2-40B4-BE49-F238E27FC236}">
              <a16:creationId xmlns:a16="http://schemas.microsoft.com/office/drawing/2014/main" id="{DF0846DB-237E-4218-A750-C2E85D4F6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315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670</xdr:row>
      <xdr:rowOff>0</xdr:rowOff>
    </xdr:from>
    <xdr:ext cx="4310" cy="390525"/>
    <xdr:pic>
      <xdr:nvPicPr>
        <xdr:cNvPr id="144" name="Picture 143" descr="SMK 8 ASLI.wmf">
          <a:extLst>
            <a:ext uri="{FF2B5EF4-FFF2-40B4-BE49-F238E27FC236}">
              <a16:creationId xmlns:a16="http://schemas.microsoft.com/office/drawing/2014/main" id="{1EB3296F-CE7F-48B3-BC26-F7CFBCCC1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92651" y="3346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262617</xdr:colOff>
      <xdr:row>656</xdr:row>
      <xdr:rowOff>94071</xdr:rowOff>
    </xdr:from>
    <xdr:to>
      <xdr:col>23</xdr:col>
      <xdr:colOff>63590</xdr:colOff>
      <xdr:row>662</xdr:row>
      <xdr:rowOff>152400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25B21F0A-1D02-4F6C-A2DF-116350927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17" y="125831691"/>
          <a:ext cx="8342993" cy="1155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0</xdr:colOff>
      <xdr:row>670</xdr:row>
      <xdr:rowOff>9525</xdr:rowOff>
    </xdr:from>
    <xdr:ext cx="1" cy="381000"/>
    <xdr:pic>
      <xdr:nvPicPr>
        <xdr:cNvPr id="146" name="Picture 145" descr="SMK 8 ASLI.wmf">
          <a:extLst>
            <a:ext uri="{FF2B5EF4-FFF2-40B4-BE49-F238E27FC236}">
              <a16:creationId xmlns:a16="http://schemas.microsoft.com/office/drawing/2014/main" id="{483BF781-1697-41DC-8B5D-7E2DD857E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3355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47" name="Picture 146" descr="SMK 8 ASLI.wmf">
          <a:extLst>
            <a:ext uri="{FF2B5EF4-FFF2-40B4-BE49-F238E27FC236}">
              <a16:creationId xmlns:a16="http://schemas.microsoft.com/office/drawing/2014/main" id="{0C38858A-A655-44C9-98AC-CFF8353E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315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670</xdr:row>
      <xdr:rowOff>0</xdr:rowOff>
    </xdr:from>
    <xdr:ext cx="4310" cy="390525"/>
    <xdr:pic>
      <xdr:nvPicPr>
        <xdr:cNvPr id="148" name="Picture 147" descr="SMK 8 ASLI.wmf">
          <a:extLst>
            <a:ext uri="{FF2B5EF4-FFF2-40B4-BE49-F238E27FC236}">
              <a16:creationId xmlns:a16="http://schemas.microsoft.com/office/drawing/2014/main" id="{192D031A-8E0D-4C3A-A650-94A9AF7C6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92651" y="3346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670</xdr:row>
      <xdr:rowOff>9525</xdr:rowOff>
    </xdr:from>
    <xdr:ext cx="1" cy="381000"/>
    <xdr:pic>
      <xdr:nvPicPr>
        <xdr:cNvPr id="149" name="Picture 148" descr="SMK 8 ASLI.wmf">
          <a:extLst>
            <a:ext uri="{FF2B5EF4-FFF2-40B4-BE49-F238E27FC236}">
              <a16:creationId xmlns:a16="http://schemas.microsoft.com/office/drawing/2014/main" id="{B09F55C7-4776-490A-A621-AB44DBD7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33559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50" name="Picture 149" descr="SMK 8 ASLI.wmf">
          <a:extLst>
            <a:ext uri="{FF2B5EF4-FFF2-40B4-BE49-F238E27FC236}">
              <a16:creationId xmlns:a16="http://schemas.microsoft.com/office/drawing/2014/main" id="{9E8CD857-2E99-4DEC-80D2-34ACD2B4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83500" y="3159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670</xdr:row>
      <xdr:rowOff>0</xdr:rowOff>
    </xdr:from>
    <xdr:ext cx="4310" cy="390525"/>
    <xdr:pic>
      <xdr:nvPicPr>
        <xdr:cNvPr id="151" name="Picture 150" descr="SMK 8 ASLI.wmf">
          <a:extLst>
            <a:ext uri="{FF2B5EF4-FFF2-40B4-BE49-F238E27FC236}">
              <a16:creationId xmlns:a16="http://schemas.microsoft.com/office/drawing/2014/main" id="{CF6D21EC-1947-4AB9-A93F-4D1DF3BC7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692651" y="33464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22</xdr:col>
      <xdr:colOff>0</xdr:colOff>
      <xdr:row>398</xdr:row>
      <xdr:rowOff>9525</xdr:rowOff>
    </xdr:from>
    <xdr:to>
      <xdr:col>22</xdr:col>
      <xdr:colOff>1</xdr:colOff>
      <xdr:row>400</xdr:row>
      <xdr:rowOff>19050</xdr:rowOff>
    </xdr:to>
    <xdr:pic>
      <xdr:nvPicPr>
        <xdr:cNvPr id="152" name="Picture 151" descr="SMK 8 ASLI.wmf">
          <a:extLst>
            <a:ext uri="{FF2B5EF4-FFF2-40B4-BE49-F238E27FC236}">
              <a16:creationId xmlns:a16="http://schemas.microsoft.com/office/drawing/2014/main" id="{BA75E6E2-A48C-4386-9F2A-C6170D9FE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81708625"/>
          <a:ext cx="1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609601</xdr:colOff>
      <xdr:row>398</xdr:row>
      <xdr:rowOff>0</xdr:rowOff>
    </xdr:from>
    <xdr:ext cx="4310" cy="390525"/>
    <xdr:pic>
      <xdr:nvPicPr>
        <xdr:cNvPr id="153" name="Picture 152" descr="SMK 8 ASLI.wmf">
          <a:extLst>
            <a:ext uri="{FF2B5EF4-FFF2-40B4-BE49-F238E27FC236}">
              <a16:creationId xmlns:a16="http://schemas.microsoft.com/office/drawing/2014/main" id="{D9046DEE-3705-4B07-9CD2-5725AF067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816991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397</xdr:row>
      <xdr:rowOff>9525</xdr:rowOff>
    </xdr:from>
    <xdr:ext cx="1" cy="381000"/>
    <xdr:pic>
      <xdr:nvPicPr>
        <xdr:cNvPr id="154" name="Picture 153" descr="SMK 8 ASLI.wmf">
          <a:extLst>
            <a:ext uri="{FF2B5EF4-FFF2-40B4-BE49-F238E27FC236}">
              <a16:creationId xmlns:a16="http://schemas.microsoft.com/office/drawing/2014/main" id="{EB9DAC7C-2486-4880-A227-E03894157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637444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397</xdr:row>
      <xdr:rowOff>9525</xdr:rowOff>
    </xdr:from>
    <xdr:ext cx="1" cy="381000"/>
    <xdr:pic>
      <xdr:nvPicPr>
        <xdr:cNvPr id="155" name="Picture 154" descr="SMK 8 ASLI.wmf">
          <a:extLst>
            <a:ext uri="{FF2B5EF4-FFF2-40B4-BE49-F238E27FC236}">
              <a16:creationId xmlns:a16="http://schemas.microsoft.com/office/drawing/2014/main" id="{3F56AD7A-0A33-46D5-BB4E-38D314AC0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637444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397</xdr:row>
      <xdr:rowOff>9525</xdr:rowOff>
    </xdr:from>
    <xdr:ext cx="1" cy="381000"/>
    <xdr:pic>
      <xdr:nvPicPr>
        <xdr:cNvPr id="156" name="Picture 155" descr="SMK 8 ASLI.wmf">
          <a:extLst>
            <a:ext uri="{FF2B5EF4-FFF2-40B4-BE49-F238E27FC236}">
              <a16:creationId xmlns:a16="http://schemas.microsoft.com/office/drawing/2014/main" id="{8F74E4D4-7D3A-4604-8A2E-0D35C3CA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637444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397</xdr:row>
      <xdr:rowOff>9525</xdr:rowOff>
    </xdr:from>
    <xdr:ext cx="1" cy="381000"/>
    <xdr:pic>
      <xdr:nvPicPr>
        <xdr:cNvPr id="157" name="Picture 156" descr="SMK 8 ASLI.wmf">
          <a:extLst>
            <a:ext uri="{FF2B5EF4-FFF2-40B4-BE49-F238E27FC236}">
              <a16:creationId xmlns:a16="http://schemas.microsoft.com/office/drawing/2014/main" id="{DE1890F7-D422-4067-9B30-1006C1660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6374447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397</xdr:row>
      <xdr:rowOff>0</xdr:rowOff>
    </xdr:from>
    <xdr:ext cx="4310" cy="390525"/>
    <xdr:pic>
      <xdr:nvPicPr>
        <xdr:cNvPr id="158" name="Picture 157" descr="SMK 8 ASLI.wmf">
          <a:extLst>
            <a:ext uri="{FF2B5EF4-FFF2-40B4-BE49-F238E27FC236}">
              <a16:creationId xmlns:a16="http://schemas.microsoft.com/office/drawing/2014/main" id="{80AE503E-36C4-463B-A51A-2CEB65DC7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6373495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59" name="Picture 158" descr="SMK 8 ASLI.wmf">
          <a:extLst>
            <a:ext uri="{FF2B5EF4-FFF2-40B4-BE49-F238E27FC236}">
              <a16:creationId xmlns:a16="http://schemas.microsoft.com/office/drawing/2014/main" id="{8DF1D4FE-B461-44D2-A395-15FED590A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60" name="Picture 159" descr="SMK 8 ASLI.wmf">
          <a:extLst>
            <a:ext uri="{FF2B5EF4-FFF2-40B4-BE49-F238E27FC236}">
              <a16:creationId xmlns:a16="http://schemas.microsoft.com/office/drawing/2014/main" id="{E2B5BD73-B95E-4E5F-9DE2-7FAB609B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61" name="Picture 160" descr="SMK 8 ASLI.wmf">
          <a:extLst>
            <a:ext uri="{FF2B5EF4-FFF2-40B4-BE49-F238E27FC236}">
              <a16:creationId xmlns:a16="http://schemas.microsoft.com/office/drawing/2014/main" id="{6BB3C908-0BA1-49E3-B7FD-4AB02691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62" name="Picture 161" descr="SMK 8 ASLI.wmf">
          <a:extLst>
            <a:ext uri="{FF2B5EF4-FFF2-40B4-BE49-F238E27FC236}">
              <a16:creationId xmlns:a16="http://schemas.microsoft.com/office/drawing/2014/main" id="{64AC1BA1-7BB5-45BD-B91D-556FB11C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460</xdr:row>
      <xdr:rowOff>9525</xdr:rowOff>
    </xdr:from>
    <xdr:ext cx="1" cy="381000"/>
    <xdr:pic>
      <xdr:nvPicPr>
        <xdr:cNvPr id="163" name="Picture 162" descr="SMK 8 ASLI.wmf">
          <a:extLst>
            <a:ext uri="{FF2B5EF4-FFF2-40B4-BE49-F238E27FC236}">
              <a16:creationId xmlns:a16="http://schemas.microsoft.com/office/drawing/2014/main" id="{D905C21D-2018-4C79-BDDB-BA502E512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460</xdr:row>
      <xdr:rowOff>0</xdr:rowOff>
    </xdr:from>
    <xdr:ext cx="4310" cy="390525"/>
    <xdr:pic>
      <xdr:nvPicPr>
        <xdr:cNvPr id="164" name="Picture 163" descr="SMK 8 ASLI.wmf">
          <a:extLst>
            <a:ext uri="{FF2B5EF4-FFF2-40B4-BE49-F238E27FC236}">
              <a16:creationId xmlns:a16="http://schemas.microsoft.com/office/drawing/2014/main" id="{120D4F4C-CB2C-445F-BF40-10E6D8438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75031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65" name="Picture 164" descr="SMK 8 ASLI.wmf">
          <a:extLst>
            <a:ext uri="{FF2B5EF4-FFF2-40B4-BE49-F238E27FC236}">
              <a16:creationId xmlns:a16="http://schemas.microsoft.com/office/drawing/2014/main" id="{D006B47C-35C9-4C88-A29A-F6CCB8088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66" name="Picture 165" descr="SMK 8 ASLI.wmf">
          <a:extLst>
            <a:ext uri="{FF2B5EF4-FFF2-40B4-BE49-F238E27FC236}">
              <a16:creationId xmlns:a16="http://schemas.microsoft.com/office/drawing/2014/main" id="{FDDFB44C-5F41-45DC-BF43-C7A296A8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67" name="Picture 166" descr="SMK 8 ASLI.wmf">
          <a:extLst>
            <a:ext uri="{FF2B5EF4-FFF2-40B4-BE49-F238E27FC236}">
              <a16:creationId xmlns:a16="http://schemas.microsoft.com/office/drawing/2014/main" id="{D50FC751-2243-46C7-BC12-F541F288C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68" name="Picture 167" descr="SMK 8 ASLI.wmf">
          <a:extLst>
            <a:ext uri="{FF2B5EF4-FFF2-40B4-BE49-F238E27FC236}">
              <a16:creationId xmlns:a16="http://schemas.microsoft.com/office/drawing/2014/main" id="{41A131FB-0B2C-485E-9A55-34660446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524</xdr:row>
      <xdr:rowOff>9525</xdr:rowOff>
    </xdr:from>
    <xdr:ext cx="1" cy="381000"/>
    <xdr:pic>
      <xdr:nvPicPr>
        <xdr:cNvPr id="169" name="Picture 168" descr="SMK 8 ASLI.wmf">
          <a:extLst>
            <a:ext uri="{FF2B5EF4-FFF2-40B4-BE49-F238E27FC236}">
              <a16:creationId xmlns:a16="http://schemas.microsoft.com/office/drawing/2014/main" id="{27D68856-0474-47D5-949B-1E37BE49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524</xdr:row>
      <xdr:rowOff>0</xdr:rowOff>
    </xdr:from>
    <xdr:ext cx="4310" cy="390525"/>
    <xdr:pic>
      <xdr:nvPicPr>
        <xdr:cNvPr id="170" name="Picture 169" descr="SMK 8 ASLI.wmf">
          <a:extLst>
            <a:ext uri="{FF2B5EF4-FFF2-40B4-BE49-F238E27FC236}">
              <a16:creationId xmlns:a16="http://schemas.microsoft.com/office/drawing/2014/main" id="{06C146E8-DBDF-4502-8938-FCC5EEEB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75031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589</xdr:row>
      <xdr:rowOff>9525</xdr:rowOff>
    </xdr:from>
    <xdr:ext cx="1" cy="381000"/>
    <xdr:pic>
      <xdr:nvPicPr>
        <xdr:cNvPr id="171" name="Picture 170" descr="SMK 8 ASLI.wmf">
          <a:extLst>
            <a:ext uri="{FF2B5EF4-FFF2-40B4-BE49-F238E27FC236}">
              <a16:creationId xmlns:a16="http://schemas.microsoft.com/office/drawing/2014/main" id="{309B572D-3514-4F2D-8047-10BB12DBC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589</xdr:row>
      <xdr:rowOff>9525</xdr:rowOff>
    </xdr:from>
    <xdr:ext cx="1" cy="381000"/>
    <xdr:pic>
      <xdr:nvPicPr>
        <xdr:cNvPr id="172" name="Picture 171" descr="SMK 8 ASLI.wmf">
          <a:extLst>
            <a:ext uri="{FF2B5EF4-FFF2-40B4-BE49-F238E27FC236}">
              <a16:creationId xmlns:a16="http://schemas.microsoft.com/office/drawing/2014/main" id="{52BA24E5-ACAD-437B-BCEE-FB061EDAA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589</xdr:row>
      <xdr:rowOff>9525</xdr:rowOff>
    </xdr:from>
    <xdr:ext cx="1" cy="381000"/>
    <xdr:pic>
      <xdr:nvPicPr>
        <xdr:cNvPr id="173" name="Picture 172" descr="SMK 8 ASLI.wmf">
          <a:extLst>
            <a:ext uri="{FF2B5EF4-FFF2-40B4-BE49-F238E27FC236}">
              <a16:creationId xmlns:a16="http://schemas.microsoft.com/office/drawing/2014/main" id="{35A2525B-26D3-42BA-AE31-23A6BBA8F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589</xdr:row>
      <xdr:rowOff>9525</xdr:rowOff>
    </xdr:from>
    <xdr:ext cx="1" cy="381000"/>
    <xdr:pic>
      <xdr:nvPicPr>
        <xdr:cNvPr id="174" name="Picture 173" descr="SMK 8 ASLI.wmf">
          <a:extLst>
            <a:ext uri="{FF2B5EF4-FFF2-40B4-BE49-F238E27FC236}">
              <a16:creationId xmlns:a16="http://schemas.microsoft.com/office/drawing/2014/main" id="{62A013C9-B2E3-4076-A83D-6C2607ED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589</xdr:row>
      <xdr:rowOff>9525</xdr:rowOff>
    </xdr:from>
    <xdr:ext cx="1" cy="381000"/>
    <xdr:pic>
      <xdr:nvPicPr>
        <xdr:cNvPr id="175" name="Picture 174" descr="SMK 8 ASLI.wmf">
          <a:extLst>
            <a:ext uri="{FF2B5EF4-FFF2-40B4-BE49-F238E27FC236}">
              <a16:creationId xmlns:a16="http://schemas.microsoft.com/office/drawing/2014/main" id="{0752E3FB-DE4A-4018-A607-0E660E4A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589</xdr:row>
      <xdr:rowOff>0</xdr:rowOff>
    </xdr:from>
    <xdr:ext cx="4310" cy="390525"/>
    <xdr:pic>
      <xdr:nvPicPr>
        <xdr:cNvPr id="176" name="Picture 175" descr="SMK 8 ASLI.wmf">
          <a:extLst>
            <a:ext uri="{FF2B5EF4-FFF2-40B4-BE49-F238E27FC236}">
              <a16:creationId xmlns:a16="http://schemas.microsoft.com/office/drawing/2014/main" id="{7F2787EA-DBF0-4F1C-BF1C-5B55763E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75031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77" name="Picture 176" descr="SMK 8 ASLI.wmf">
          <a:extLst>
            <a:ext uri="{FF2B5EF4-FFF2-40B4-BE49-F238E27FC236}">
              <a16:creationId xmlns:a16="http://schemas.microsoft.com/office/drawing/2014/main" id="{7317FB1C-790C-46A0-9A17-E562DF1F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78" name="Picture 177" descr="SMK 8 ASLI.wmf">
          <a:extLst>
            <a:ext uri="{FF2B5EF4-FFF2-40B4-BE49-F238E27FC236}">
              <a16:creationId xmlns:a16="http://schemas.microsoft.com/office/drawing/2014/main" id="{A1EFF7D7-0657-4797-BB26-78DDCAA48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79" name="Picture 178" descr="SMK 8 ASLI.wmf">
          <a:extLst>
            <a:ext uri="{FF2B5EF4-FFF2-40B4-BE49-F238E27FC236}">
              <a16:creationId xmlns:a16="http://schemas.microsoft.com/office/drawing/2014/main" id="{E1DC3873-4FA8-4547-BA0C-76D6939B5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80" name="Picture 179" descr="SMK 8 ASLI.wmf">
          <a:extLst>
            <a:ext uri="{FF2B5EF4-FFF2-40B4-BE49-F238E27FC236}">
              <a16:creationId xmlns:a16="http://schemas.microsoft.com/office/drawing/2014/main" id="{D2EEE5DC-1CC8-4F34-9FF0-C511E1127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22</xdr:col>
      <xdr:colOff>0</xdr:colOff>
      <xdr:row>669</xdr:row>
      <xdr:rowOff>9525</xdr:rowOff>
    </xdr:from>
    <xdr:ext cx="1" cy="381000"/>
    <xdr:pic>
      <xdr:nvPicPr>
        <xdr:cNvPr id="181" name="Picture 180" descr="SMK 8 ASLI.wmf">
          <a:extLst>
            <a:ext uri="{FF2B5EF4-FFF2-40B4-BE49-F238E27FC236}">
              <a16:creationId xmlns:a16="http://schemas.microsoft.com/office/drawing/2014/main" id="{EC35B54D-8746-4788-876B-12996C30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020050" y="75041125"/>
          <a:ext cx="1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609601</xdr:colOff>
      <xdr:row>669</xdr:row>
      <xdr:rowOff>0</xdr:rowOff>
    </xdr:from>
    <xdr:ext cx="4310" cy="390525"/>
    <xdr:pic>
      <xdr:nvPicPr>
        <xdr:cNvPr id="182" name="Picture 181" descr="SMK 8 ASLI.wmf">
          <a:extLst>
            <a:ext uri="{FF2B5EF4-FFF2-40B4-BE49-F238E27FC236}">
              <a16:creationId xmlns:a16="http://schemas.microsoft.com/office/drawing/2014/main" id="{8FF5CEB8-5650-435E-AC54-0471A946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029201" y="75031600"/>
          <a:ext cx="431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AC23-A9E7-4E53-979B-A1AC874A66FF}">
  <dimension ref="A1:Z1174"/>
  <sheetViews>
    <sheetView tabSelected="1" topLeftCell="A592" zoomScale="76" zoomScaleNormal="76" workbookViewId="0">
      <selection activeCell="W266" sqref="W266"/>
    </sheetView>
  </sheetViews>
  <sheetFormatPr defaultRowHeight="15"/>
  <cols>
    <col min="1" max="1" width="3.7109375" customWidth="1"/>
    <col min="2" max="2" width="12.7109375" customWidth="1"/>
    <col min="3" max="3" width="14" customWidth="1"/>
    <col min="4" max="4" width="44.85546875" customWidth="1"/>
    <col min="5" max="5" width="4.7109375" customWidth="1"/>
    <col min="6" max="25" width="3.5703125" customWidth="1"/>
    <col min="26" max="26" width="3.7109375" customWidth="1"/>
    <col min="28" max="29" width="9.28515625" customWidth="1"/>
  </cols>
  <sheetData>
    <row r="1" spans="1:26" ht="15.75" customHeight="1"/>
    <row r="2" spans="1:26" ht="15.75" customHeight="1"/>
    <row r="3" spans="1:26" ht="15.75" customHeight="1"/>
    <row r="4" spans="1:26" ht="15.75" customHeight="1"/>
    <row r="5" spans="1:26" ht="15.75" customHeight="1"/>
    <row r="6" spans="1:26" ht="15.75" customHeight="1"/>
    <row r="7" spans="1:26" ht="15.75" customHeight="1"/>
    <row r="8" spans="1:26" ht="15.75" customHeight="1"/>
    <row r="9" spans="1:26" ht="15.75" customHeight="1">
      <c r="A9" s="211" t="s">
        <v>132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</row>
    <row r="10" spans="1:26" ht="15.75" customHeight="1">
      <c r="A10" s="211" t="s">
        <v>0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8"/>
      <c r="Z10" s="8"/>
    </row>
    <row r="11" spans="1:26" ht="15.75" customHeight="1">
      <c r="Y11" s="8"/>
      <c r="Z11" s="8"/>
    </row>
    <row r="12" spans="1:26" ht="15.75" customHeight="1">
      <c r="A12" s="21" t="s">
        <v>133</v>
      </c>
      <c r="B12" s="21"/>
      <c r="C12" s="22" t="s">
        <v>1634</v>
      </c>
      <c r="D12" s="23"/>
      <c r="E12" s="23" t="s">
        <v>1623</v>
      </c>
      <c r="F12" s="54"/>
      <c r="G12" s="54"/>
      <c r="H12" s="54"/>
      <c r="I12" s="54"/>
      <c r="J12" s="54"/>
      <c r="K12" s="54"/>
      <c r="L12" s="54" t="s">
        <v>1630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8"/>
    </row>
    <row r="13" spans="1:26" ht="15.75" customHeight="1">
      <c r="A13" s="205" t="s">
        <v>134</v>
      </c>
      <c r="B13" s="205"/>
      <c r="C13" s="15" t="s">
        <v>21</v>
      </c>
      <c r="D13" s="82"/>
      <c r="E13" s="14" t="s">
        <v>1621</v>
      </c>
      <c r="F13" s="82"/>
      <c r="G13" s="82"/>
      <c r="H13" s="82"/>
      <c r="I13" s="82"/>
      <c r="J13" s="82"/>
      <c r="K13" s="16"/>
      <c r="L13" s="82" t="s">
        <v>1631</v>
      </c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"/>
    </row>
    <row r="14" spans="1:26" ht="15.75" customHeight="1">
      <c r="D14" s="82"/>
      <c r="E14" s="83" t="s">
        <v>1625</v>
      </c>
      <c r="F14" s="82"/>
      <c r="G14" s="82"/>
      <c r="H14" s="82"/>
      <c r="I14" s="82"/>
      <c r="J14" s="82"/>
      <c r="K14" s="82"/>
      <c r="L14" s="82" t="s">
        <v>1631</v>
      </c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"/>
    </row>
    <row r="15" spans="1:26" ht="15.75" customHeight="1">
      <c r="A15" s="212" t="s">
        <v>136</v>
      </c>
      <c r="B15" s="212"/>
      <c r="C15" s="22" t="s">
        <v>2609</v>
      </c>
      <c r="D15" s="54"/>
      <c r="E15" s="23" t="s">
        <v>1627</v>
      </c>
      <c r="F15" s="54"/>
      <c r="G15" s="16"/>
      <c r="H15" s="54"/>
      <c r="I15" s="54"/>
      <c r="J15" s="54"/>
      <c r="K15" s="54" t="s">
        <v>1617</v>
      </c>
      <c r="L15" s="54" t="s">
        <v>1618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8"/>
    </row>
    <row r="16" spans="1:26" ht="15.75" customHeight="1">
      <c r="A16" s="21"/>
      <c r="B16" s="21"/>
      <c r="C16" s="22"/>
      <c r="D16" s="54"/>
      <c r="E16" s="23"/>
      <c r="F16" s="54"/>
      <c r="G16" s="16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8"/>
    </row>
    <row r="17" spans="1:26" ht="15.75" customHeight="1">
      <c r="A17" s="24"/>
      <c r="B17" s="24"/>
      <c r="C17" s="24"/>
      <c r="D17" s="205" t="s">
        <v>1599</v>
      </c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8"/>
    </row>
    <row r="18" spans="1:26" ht="15.75" customHeight="1">
      <c r="A18" s="206" t="s">
        <v>1</v>
      </c>
      <c r="B18" s="206" t="s">
        <v>2</v>
      </c>
      <c r="C18" s="206" t="s">
        <v>18</v>
      </c>
      <c r="D18" s="206" t="s">
        <v>137</v>
      </c>
      <c r="E18" s="213" t="s">
        <v>3</v>
      </c>
      <c r="F18" s="208" t="s">
        <v>4</v>
      </c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10"/>
      <c r="V18" s="208" t="s">
        <v>5</v>
      </c>
      <c r="W18" s="209"/>
      <c r="X18" s="210"/>
    </row>
    <row r="19" spans="1:26" ht="15.75" customHeight="1">
      <c r="A19" s="207"/>
      <c r="B19" s="207"/>
      <c r="C19" s="207"/>
      <c r="D19" s="207"/>
      <c r="E19" s="214"/>
      <c r="F19" s="91">
        <v>1</v>
      </c>
      <c r="G19" s="91">
        <v>2</v>
      </c>
      <c r="H19" s="91">
        <v>3</v>
      </c>
      <c r="I19" s="91">
        <v>4</v>
      </c>
      <c r="J19" s="91">
        <v>5</v>
      </c>
      <c r="K19" s="91">
        <v>6</v>
      </c>
      <c r="L19" s="91">
        <v>7</v>
      </c>
      <c r="M19" s="91">
        <v>8</v>
      </c>
      <c r="N19" s="91">
        <v>9</v>
      </c>
      <c r="O19" s="91">
        <v>10</v>
      </c>
      <c r="P19" s="91">
        <v>11</v>
      </c>
      <c r="Q19" s="91">
        <v>12</v>
      </c>
      <c r="R19" s="91">
        <v>13</v>
      </c>
      <c r="S19" s="91">
        <v>14</v>
      </c>
      <c r="T19" s="91">
        <v>15</v>
      </c>
      <c r="U19" s="91">
        <v>16</v>
      </c>
      <c r="V19" s="91" t="s">
        <v>6</v>
      </c>
      <c r="W19" s="91" t="s">
        <v>7</v>
      </c>
      <c r="X19" s="91" t="s">
        <v>8</v>
      </c>
      <c r="Y19" s="9"/>
      <c r="Z19" s="9"/>
    </row>
    <row r="20" spans="1:26" ht="15.75" customHeight="1">
      <c r="A20" s="48"/>
      <c r="B20" s="48"/>
      <c r="C20" s="48"/>
      <c r="D20" s="48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"/>
      <c r="Z20" s="9"/>
    </row>
    <row r="21" spans="1:26" ht="15.75" customHeight="1">
      <c r="A21" s="92">
        <v>1</v>
      </c>
      <c r="B21" s="93"/>
      <c r="C21" s="93" t="s">
        <v>1635</v>
      </c>
      <c r="D21" s="81" t="s">
        <v>1636</v>
      </c>
      <c r="E21" s="87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"/>
      <c r="Z21" s="9"/>
    </row>
    <row r="22" spans="1:26" ht="15.75" customHeight="1">
      <c r="A22" s="92">
        <v>2</v>
      </c>
      <c r="B22" s="93"/>
      <c r="C22" s="93" t="s">
        <v>1637</v>
      </c>
      <c r="D22" s="81" t="s">
        <v>1638</v>
      </c>
      <c r="E22" s="87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"/>
      <c r="Z22" s="9"/>
    </row>
    <row r="23" spans="1:26" ht="15.75" customHeight="1">
      <c r="A23" s="92">
        <v>3</v>
      </c>
      <c r="B23" s="93"/>
      <c r="C23" s="93" t="s">
        <v>1639</v>
      </c>
      <c r="D23" s="81" t="s">
        <v>1640</v>
      </c>
      <c r="E23" s="87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"/>
      <c r="Z23" s="9"/>
    </row>
    <row r="24" spans="1:26" ht="15.75" customHeight="1">
      <c r="A24" s="92">
        <v>4</v>
      </c>
      <c r="B24" s="93"/>
      <c r="C24" s="93" t="s">
        <v>1641</v>
      </c>
      <c r="D24" s="81" t="s">
        <v>1642</v>
      </c>
      <c r="E24" s="87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"/>
      <c r="Z24" s="9"/>
    </row>
    <row r="25" spans="1:26" ht="15.75" customHeight="1">
      <c r="A25" s="92">
        <v>5</v>
      </c>
      <c r="B25" s="93"/>
      <c r="C25" s="93" t="s">
        <v>1643</v>
      </c>
      <c r="D25" s="81" t="s">
        <v>1644</v>
      </c>
      <c r="E25" s="87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"/>
      <c r="Z25" s="9"/>
    </row>
    <row r="26" spans="1:26" ht="15.75" customHeight="1">
      <c r="A26" s="92">
        <v>6</v>
      </c>
      <c r="B26" s="93"/>
      <c r="C26" s="93" t="s">
        <v>1645</v>
      </c>
      <c r="D26" s="81" t="s">
        <v>1646</v>
      </c>
      <c r="E26" s="87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"/>
      <c r="Z26" s="9"/>
    </row>
    <row r="27" spans="1:26" ht="15.75" customHeight="1">
      <c r="A27" s="92">
        <v>7</v>
      </c>
      <c r="B27" s="93"/>
      <c r="C27" s="93" t="s">
        <v>1647</v>
      </c>
      <c r="D27" s="81" t="s">
        <v>1648</v>
      </c>
      <c r="E27" s="87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"/>
      <c r="Z27" s="9"/>
    </row>
    <row r="28" spans="1:26" ht="15.75" customHeight="1">
      <c r="A28" s="92">
        <v>8</v>
      </c>
      <c r="B28" s="93"/>
      <c r="C28" s="93" t="s">
        <v>1649</v>
      </c>
      <c r="D28" s="81" t="s">
        <v>1650</v>
      </c>
      <c r="E28" s="87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"/>
      <c r="Z28" s="9"/>
    </row>
    <row r="29" spans="1:26" ht="15.75" customHeight="1">
      <c r="A29" s="92">
        <v>9</v>
      </c>
      <c r="B29" s="93"/>
      <c r="C29" s="93" t="s">
        <v>1651</v>
      </c>
      <c r="D29" s="81" t="s">
        <v>1652</v>
      </c>
      <c r="E29" s="87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"/>
      <c r="Z29" s="9"/>
    </row>
    <row r="30" spans="1:26" ht="15.75" customHeight="1">
      <c r="A30" s="92">
        <v>10</v>
      </c>
      <c r="B30" s="93"/>
      <c r="C30" s="93" t="s">
        <v>1653</v>
      </c>
      <c r="D30" s="81" t="s">
        <v>1654</v>
      </c>
      <c r="E30" s="87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"/>
      <c r="Z30" s="9"/>
    </row>
    <row r="31" spans="1:26" ht="15.75" customHeight="1">
      <c r="A31" s="92">
        <v>11</v>
      </c>
      <c r="B31" s="93"/>
      <c r="C31" s="93" t="s">
        <v>1655</v>
      </c>
      <c r="D31" s="81" t="s">
        <v>1656</v>
      </c>
      <c r="E31" s="87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"/>
      <c r="Z31" s="9"/>
    </row>
    <row r="32" spans="1:26" ht="15.75" customHeight="1">
      <c r="A32" s="92">
        <v>12</v>
      </c>
      <c r="B32" s="93"/>
      <c r="C32" s="93" t="s">
        <v>1657</v>
      </c>
      <c r="D32" s="81" t="s">
        <v>1658</v>
      </c>
      <c r="E32" s="87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"/>
      <c r="Z32" s="9"/>
    </row>
    <row r="33" spans="1:26" ht="15.75" customHeight="1">
      <c r="A33" s="92">
        <v>13</v>
      </c>
      <c r="B33" s="93"/>
      <c r="C33" s="93" t="s">
        <v>1659</v>
      </c>
      <c r="D33" s="81" t="s">
        <v>1660</v>
      </c>
      <c r="E33" s="87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"/>
      <c r="Z33" s="9"/>
    </row>
    <row r="34" spans="1:26" ht="15.75" customHeight="1">
      <c r="A34" s="92">
        <v>14</v>
      </c>
      <c r="B34" s="93"/>
      <c r="C34" s="93" t="s">
        <v>1661</v>
      </c>
      <c r="D34" s="81" t="s">
        <v>1662</v>
      </c>
      <c r="E34" s="87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"/>
      <c r="Z34" s="9"/>
    </row>
    <row r="35" spans="1:26" ht="15.75" customHeight="1">
      <c r="A35" s="92">
        <v>15</v>
      </c>
      <c r="B35" s="93"/>
      <c r="C35" s="93" t="s">
        <v>1663</v>
      </c>
      <c r="D35" s="81" t="s">
        <v>1664</v>
      </c>
      <c r="E35" s="87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"/>
      <c r="Z35" s="9"/>
    </row>
    <row r="36" spans="1:26" ht="15.75" customHeight="1">
      <c r="A36" s="92">
        <v>16</v>
      </c>
      <c r="B36" s="93"/>
      <c r="C36" s="93" t="s">
        <v>1665</v>
      </c>
      <c r="D36" s="81" t="s">
        <v>1666</v>
      </c>
      <c r="E36" s="87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"/>
      <c r="Z36" s="9"/>
    </row>
    <row r="37" spans="1:26" ht="15.75" customHeight="1">
      <c r="A37" s="92">
        <v>17</v>
      </c>
      <c r="B37" s="93"/>
      <c r="C37" s="93" t="s">
        <v>1667</v>
      </c>
      <c r="D37" s="81" t="s">
        <v>1668</v>
      </c>
      <c r="E37" s="87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"/>
      <c r="Z37" s="9"/>
    </row>
    <row r="38" spans="1:26" ht="15.75" customHeight="1">
      <c r="A38" s="92">
        <v>18</v>
      </c>
      <c r="B38" s="93"/>
      <c r="C38" s="93" t="s">
        <v>1669</v>
      </c>
      <c r="D38" s="81" t="s">
        <v>1670</v>
      </c>
      <c r="E38" s="87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"/>
      <c r="Z38" s="9"/>
    </row>
    <row r="39" spans="1:26" ht="15.75" customHeight="1">
      <c r="A39" s="92">
        <v>19</v>
      </c>
      <c r="B39" s="93"/>
      <c r="C39" s="93" t="s">
        <v>1671</v>
      </c>
      <c r="D39" s="81" t="s">
        <v>1672</v>
      </c>
      <c r="E39" s="87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"/>
      <c r="Z39" s="9"/>
    </row>
    <row r="40" spans="1:26" ht="15.75" customHeight="1">
      <c r="A40" s="92">
        <v>20</v>
      </c>
      <c r="B40" s="93"/>
      <c r="C40" s="93" t="s">
        <v>1673</v>
      </c>
      <c r="D40" s="81" t="s">
        <v>1674</v>
      </c>
      <c r="E40" s="87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"/>
      <c r="Z40" s="9"/>
    </row>
    <row r="41" spans="1:26" ht="15.75" customHeight="1">
      <c r="A41" s="92">
        <v>21</v>
      </c>
      <c r="B41" s="93"/>
      <c r="C41" s="93" t="s">
        <v>1675</v>
      </c>
      <c r="D41" s="81" t="s">
        <v>1676</v>
      </c>
      <c r="E41" s="87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"/>
      <c r="Z41" s="9"/>
    </row>
    <row r="42" spans="1:26" ht="15.75" customHeight="1">
      <c r="A42" s="92">
        <v>22</v>
      </c>
      <c r="B42" s="93"/>
      <c r="C42" s="93" t="s">
        <v>1677</v>
      </c>
      <c r="D42" s="81" t="s">
        <v>1678</v>
      </c>
      <c r="E42" s="87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"/>
      <c r="Z42" s="9"/>
    </row>
    <row r="43" spans="1:26" ht="15.75" customHeight="1">
      <c r="A43" s="92">
        <v>23</v>
      </c>
      <c r="B43" s="93"/>
      <c r="C43" s="93" t="s">
        <v>1679</v>
      </c>
      <c r="D43" s="81" t="s">
        <v>1680</v>
      </c>
      <c r="E43" s="87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"/>
      <c r="Z43" s="9"/>
    </row>
    <row r="44" spans="1:26" ht="15.75" customHeight="1">
      <c r="A44" s="92">
        <v>24</v>
      </c>
      <c r="B44" s="93"/>
      <c r="C44" s="93" t="s">
        <v>1681</v>
      </c>
      <c r="D44" s="81" t="s">
        <v>1682</v>
      </c>
      <c r="E44" s="87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"/>
      <c r="Z44" s="9"/>
    </row>
    <row r="45" spans="1:26" ht="15.75" customHeight="1">
      <c r="A45" s="92">
        <v>25</v>
      </c>
      <c r="B45" s="93"/>
      <c r="C45" s="93" t="s">
        <v>1683</v>
      </c>
      <c r="D45" s="81" t="s">
        <v>1684</v>
      </c>
      <c r="E45" s="87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"/>
      <c r="Z45" s="9"/>
    </row>
    <row r="46" spans="1:26" ht="15.75" customHeight="1">
      <c r="A46" s="92">
        <v>26</v>
      </c>
      <c r="B46" s="93"/>
      <c r="C46" s="93" t="s">
        <v>1685</v>
      </c>
      <c r="D46" s="81" t="s">
        <v>1686</v>
      </c>
      <c r="E46" s="87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"/>
      <c r="Z46" s="9"/>
    </row>
    <row r="47" spans="1:26" ht="15.75" customHeight="1">
      <c r="A47" s="92">
        <v>27</v>
      </c>
      <c r="B47" s="93"/>
      <c r="C47" s="93" t="s">
        <v>1687</v>
      </c>
      <c r="D47" s="81" t="s">
        <v>1688</v>
      </c>
      <c r="E47" s="87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"/>
      <c r="Z47" s="9"/>
    </row>
    <row r="48" spans="1:26" ht="15.75" customHeight="1">
      <c r="A48" s="92">
        <v>28</v>
      </c>
      <c r="B48" s="93"/>
      <c r="C48" s="93" t="s">
        <v>1689</v>
      </c>
      <c r="D48" s="81" t="s">
        <v>1690</v>
      </c>
      <c r="E48" s="87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"/>
      <c r="Z48" s="9"/>
    </row>
    <row r="49" spans="1:26" ht="15.75" customHeight="1">
      <c r="A49" s="92">
        <v>29</v>
      </c>
      <c r="B49" s="93"/>
      <c r="C49" s="93" t="s">
        <v>1691</v>
      </c>
      <c r="D49" s="81" t="s">
        <v>1692</v>
      </c>
      <c r="E49" s="87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"/>
      <c r="Z49" s="9"/>
    </row>
    <row r="50" spans="1:26" ht="15.75" customHeight="1">
      <c r="A50" s="92">
        <v>30</v>
      </c>
      <c r="B50" s="93"/>
      <c r="C50" s="93" t="s">
        <v>1693</v>
      </c>
      <c r="D50" s="81" t="s">
        <v>1694</v>
      </c>
      <c r="E50" s="87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"/>
      <c r="Z50" s="9"/>
    </row>
    <row r="51" spans="1:26" ht="15.75" customHeight="1">
      <c r="A51" s="92">
        <v>31</v>
      </c>
      <c r="B51" s="93"/>
      <c r="C51" s="93" t="s">
        <v>1695</v>
      </c>
      <c r="D51" s="81" t="s">
        <v>1696</v>
      </c>
      <c r="E51" s="87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</row>
    <row r="52" spans="1:26" ht="15.75" customHeight="1">
      <c r="A52" s="92">
        <v>32</v>
      </c>
      <c r="B52" s="93"/>
      <c r="C52" s="93" t="s">
        <v>1697</v>
      </c>
      <c r="D52" s="81" t="s">
        <v>1698</v>
      </c>
      <c r="E52" s="87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</row>
    <row r="53" spans="1:26" ht="15.75" customHeight="1">
      <c r="A53" s="92">
        <v>33</v>
      </c>
      <c r="B53" s="93"/>
      <c r="C53" s="93" t="s">
        <v>1699</v>
      </c>
      <c r="D53" s="81" t="s">
        <v>1700</v>
      </c>
      <c r="E53" s="87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</row>
    <row r="54" spans="1:26" ht="15.75" customHeight="1">
      <c r="A54" s="92">
        <v>34</v>
      </c>
      <c r="B54" s="93"/>
      <c r="C54" s="93" t="s">
        <v>1701</v>
      </c>
      <c r="D54" s="81" t="s">
        <v>1702</v>
      </c>
      <c r="E54" s="87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</row>
    <row r="55" spans="1:26" ht="15.75" customHeight="1">
      <c r="A55" s="92">
        <v>35</v>
      </c>
      <c r="B55" s="93"/>
      <c r="C55" s="93" t="s">
        <v>1703</v>
      </c>
      <c r="D55" s="81" t="s">
        <v>1704</v>
      </c>
      <c r="E55" s="87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</row>
    <row r="56" spans="1:26" ht="15.75" customHeight="1">
      <c r="A56" s="92">
        <v>36</v>
      </c>
      <c r="B56" s="93"/>
      <c r="C56" s="93" t="s">
        <v>1705</v>
      </c>
      <c r="D56" s="81" t="s">
        <v>1706</v>
      </c>
      <c r="E56" s="87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 spans="1:26" ht="15.75" customHeight="1">
      <c r="A57" s="92">
        <v>37</v>
      </c>
      <c r="B57" s="93"/>
      <c r="C57" s="93"/>
      <c r="D57" s="81"/>
      <c r="E57" s="87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</row>
    <row r="58" spans="1:26" ht="15.75" customHeight="1">
      <c r="A58" s="92">
        <v>38</v>
      </c>
      <c r="B58" s="93"/>
      <c r="C58" s="93"/>
      <c r="D58" s="81"/>
      <c r="E58" s="87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</row>
    <row r="59" spans="1:26" ht="15.75" customHeight="1">
      <c r="A59" s="77"/>
      <c r="B59" s="79"/>
      <c r="C59" s="79"/>
      <c r="D59" s="66"/>
      <c r="E59" s="10"/>
    </row>
    <row r="60" spans="1:26">
      <c r="A60" s="3"/>
      <c r="B60" s="3"/>
      <c r="C60" s="3"/>
      <c r="D60" s="3" t="s">
        <v>864</v>
      </c>
      <c r="E60" s="10">
        <f>SUM(E61:E62)</f>
        <v>0</v>
      </c>
      <c r="G60" s="7"/>
      <c r="H60" s="7"/>
    </row>
    <row r="61" spans="1:26">
      <c r="A61" s="3"/>
      <c r="B61" s="3"/>
      <c r="C61" s="3"/>
      <c r="D61" s="43" t="s">
        <v>10</v>
      </c>
      <c r="E61" s="41">
        <f>COUNTIF(E21:E58,"L")</f>
        <v>0</v>
      </c>
      <c r="G61" s="2"/>
    </row>
    <row r="62" spans="1:26">
      <c r="A62" s="3"/>
      <c r="B62" s="3"/>
      <c r="C62" s="3"/>
      <c r="D62" s="43" t="s">
        <v>11</v>
      </c>
      <c r="E62" s="41">
        <f>COUNTIF(E21:E56,"P")</f>
        <v>0</v>
      </c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1"/>
      <c r="S62" s="2"/>
      <c r="T62" s="2"/>
      <c r="U62" s="2"/>
      <c r="V62" s="2"/>
      <c r="W62" s="2"/>
      <c r="X62" s="3"/>
      <c r="Y62" s="2"/>
    </row>
    <row r="63" spans="1:26">
      <c r="A63" s="1" t="s">
        <v>12</v>
      </c>
      <c r="B63" s="1"/>
      <c r="C63" s="1"/>
      <c r="E63" s="1"/>
      <c r="F63" s="2"/>
      <c r="G63" s="2"/>
      <c r="H63" s="2"/>
      <c r="I63" s="3"/>
      <c r="J63" s="3"/>
      <c r="K63" s="3"/>
      <c r="L63" s="3"/>
      <c r="M63" s="3"/>
      <c r="N63" s="3"/>
      <c r="O63" s="3"/>
      <c r="P63" s="1" t="s">
        <v>1605</v>
      </c>
      <c r="Q63" s="2"/>
      <c r="T63" s="2"/>
      <c r="U63" s="2"/>
      <c r="V63" s="2"/>
      <c r="W63" s="2"/>
      <c r="X63" s="3"/>
      <c r="Y63" s="2"/>
    </row>
    <row r="64" spans="1:26">
      <c r="A64" s="1" t="s">
        <v>13</v>
      </c>
      <c r="B64" s="1"/>
      <c r="C64" s="1"/>
      <c r="E64" s="1"/>
      <c r="F64" s="3"/>
      <c r="G64" s="3"/>
      <c r="H64" s="3"/>
      <c r="I64" s="3"/>
      <c r="J64" s="3"/>
      <c r="K64" s="3"/>
      <c r="L64" s="3"/>
      <c r="M64" s="3"/>
      <c r="N64" s="3"/>
      <c r="O64" s="3"/>
      <c r="P64" s="1" t="s">
        <v>14</v>
      </c>
      <c r="Q64" s="3"/>
      <c r="S64" s="2"/>
      <c r="T64" s="2"/>
      <c r="U64" s="2"/>
      <c r="V64" s="2"/>
      <c r="W64" s="2"/>
      <c r="X64" s="3"/>
      <c r="Y64" s="2"/>
    </row>
    <row r="65" spans="1:25">
      <c r="A65" s="1"/>
      <c r="B65" s="1"/>
      <c r="C65" s="1"/>
      <c r="D65" s="1"/>
      <c r="E65" s="1"/>
      <c r="F65" s="3"/>
      <c r="G65" s="3"/>
      <c r="H65" s="3"/>
      <c r="I65" s="3"/>
      <c r="J65" s="3"/>
      <c r="K65" s="3"/>
      <c r="L65" s="3"/>
      <c r="M65" s="3"/>
      <c r="N65" s="3"/>
      <c r="O65" s="3"/>
      <c r="P65" s="1"/>
      <c r="Q65" s="3"/>
      <c r="S65" s="2"/>
      <c r="T65" s="2"/>
      <c r="U65" s="2"/>
      <c r="V65" s="2"/>
      <c r="W65" s="2"/>
      <c r="X65" s="3"/>
      <c r="Y65" s="2"/>
    </row>
    <row r="66" spans="1:25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/>
      <c r="T66" s="2"/>
      <c r="U66" s="2"/>
      <c r="V66" s="2"/>
      <c r="W66" s="2"/>
      <c r="X66" s="2"/>
      <c r="Y66" s="2"/>
    </row>
    <row r="67" spans="1:25" ht="15.75">
      <c r="A67" s="8" t="s">
        <v>854</v>
      </c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8" t="s">
        <v>16</v>
      </c>
      <c r="Q67" s="8"/>
      <c r="S67" s="2"/>
      <c r="T67" s="9"/>
      <c r="U67" s="9"/>
      <c r="V67" s="9"/>
      <c r="W67" s="9"/>
      <c r="X67" s="9"/>
      <c r="Y67" s="9"/>
    </row>
    <row r="68" spans="1:25" ht="15.75">
      <c r="A68" s="8" t="s">
        <v>855</v>
      </c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8" t="s">
        <v>17</v>
      </c>
      <c r="Q68" s="2"/>
      <c r="T68" s="9"/>
      <c r="U68" s="9"/>
      <c r="V68" s="9"/>
    </row>
    <row r="69" spans="1:25" ht="15.75">
      <c r="A69" s="8"/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2"/>
      <c r="T69" s="9"/>
      <c r="U69" s="9"/>
      <c r="V69" s="9"/>
    </row>
    <row r="70" spans="1:25" ht="21" customHeight="1">
      <c r="A70" s="8"/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8"/>
      <c r="Q70" s="2"/>
      <c r="T70" s="9"/>
      <c r="U70" s="9"/>
      <c r="V70" s="9"/>
    </row>
    <row r="71" spans="1:25" ht="15.75">
      <c r="A71" s="8"/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8"/>
      <c r="Q71" s="2"/>
      <c r="T71" s="9"/>
      <c r="U71" s="9"/>
      <c r="V71" s="9"/>
    </row>
    <row r="72" spans="1:25" ht="15.75">
      <c r="A72" s="8"/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8"/>
      <c r="Q72" s="2"/>
      <c r="T72" s="9"/>
      <c r="U72" s="9"/>
      <c r="V72" s="9"/>
    </row>
    <row r="73" spans="1:25" ht="15.75">
      <c r="A73" s="8"/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8"/>
      <c r="Q73" s="2"/>
      <c r="T73" s="9"/>
      <c r="U73" s="9"/>
      <c r="V73" s="9"/>
    </row>
    <row r="74" spans="1:25" ht="15.75">
      <c r="A74" s="8"/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8"/>
      <c r="Q74" s="2"/>
      <c r="T74" s="9"/>
      <c r="U74" s="9"/>
      <c r="V74" s="9"/>
    </row>
    <row r="75" spans="1:25" ht="15.75">
      <c r="A75" s="8"/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8"/>
      <c r="Q75" s="2"/>
      <c r="T75" s="9"/>
      <c r="U75" s="9"/>
      <c r="V75" s="9"/>
    </row>
    <row r="76" spans="1:25" ht="15.75">
      <c r="A76" s="8"/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8"/>
      <c r="Q76" s="2"/>
      <c r="T76" s="9"/>
      <c r="U76" s="9"/>
      <c r="V76" s="9"/>
    </row>
    <row r="77" spans="1:25" ht="15.75">
      <c r="A77" s="8"/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8"/>
      <c r="Q77" s="2"/>
      <c r="T77" s="9"/>
      <c r="U77" s="9"/>
      <c r="V77" s="9"/>
    </row>
    <row r="78" spans="1:25" ht="15.75">
      <c r="A78" s="8"/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8"/>
      <c r="Q78" s="2"/>
      <c r="T78" s="9"/>
      <c r="U78" s="9"/>
      <c r="V78" s="9"/>
    </row>
    <row r="79" spans="1:25" ht="15.75">
      <c r="A79" s="8"/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8"/>
      <c r="Q79" s="2"/>
      <c r="T79" s="9"/>
      <c r="U79" s="9"/>
      <c r="V79" s="9"/>
    </row>
    <row r="80" spans="1:25" ht="15.75">
      <c r="A80" s="8"/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8"/>
      <c r="Q80" s="2"/>
      <c r="T80" s="9"/>
      <c r="U80" s="9"/>
      <c r="V80" s="9"/>
    </row>
    <row r="81" spans="1:26" ht="15.75">
      <c r="A81" s="8"/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8"/>
      <c r="Q81" s="2"/>
      <c r="T81" s="9"/>
      <c r="U81" s="9"/>
      <c r="V81" s="9"/>
    </row>
    <row r="82" spans="1:26" ht="15.7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6" ht="15.7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6" ht="15.7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6" ht="15.7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6" ht="15.75" customHeight="1"/>
    <row r="87" spans="1:26" ht="15.75" customHeight="1"/>
    <row r="88" spans="1:26" ht="15.75" customHeight="1"/>
    <row r="89" spans="1:26" ht="15.75" customHeight="1"/>
    <row r="90" spans="1:26" ht="15.75" customHeight="1"/>
    <row r="91" spans="1:26" ht="15.75" customHeight="1"/>
    <row r="92" spans="1:26" ht="15.75" customHeight="1"/>
    <row r="93" spans="1:26" ht="15.75" customHeight="1"/>
    <row r="94" spans="1:26" ht="15.75" customHeight="1">
      <c r="A94" s="211" t="s">
        <v>132</v>
      </c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</row>
    <row r="95" spans="1:26" ht="15.75" customHeight="1">
      <c r="A95" s="211" t="s">
        <v>0</v>
      </c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8"/>
      <c r="Z95" s="8"/>
    </row>
    <row r="96" spans="1:26" ht="15.75" customHeight="1">
      <c r="Y96" s="8"/>
      <c r="Z96" s="8"/>
    </row>
    <row r="97" spans="1:26" ht="15.75" customHeight="1">
      <c r="A97" s="21" t="s">
        <v>133</v>
      </c>
      <c r="B97" s="21"/>
      <c r="C97" s="22" t="s">
        <v>1707</v>
      </c>
      <c r="D97" s="23"/>
      <c r="E97" s="23" t="s">
        <v>1623</v>
      </c>
      <c r="F97" s="54"/>
      <c r="G97" s="54"/>
      <c r="H97" s="54"/>
      <c r="I97" s="54"/>
      <c r="J97" s="54"/>
      <c r="K97" s="54"/>
      <c r="L97" s="54" t="s">
        <v>1630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8"/>
    </row>
    <row r="98" spans="1:26" ht="15.75" customHeight="1">
      <c r="A98" s="205" t="s">
        <v>134</v>
      </c>
      <c r="B98" s="205"/>
      <c r="C98" s="15" t="s">
        <v>21</v>
      </c>
      <c r="D98" s="82"/>
      <c r="E98" s="14" t="s">
        <v>1621</v>
      </c>
      <c r="F98" s="82"/>
      <c r="G98" s="82"/>
      <c r="H98" s="82"/>
      <c r="I98" s="82"/>
      <c r="J98" s="82"/>
      <c r="K98" s="16"/>
      <c r="L98" s="82" t="s">
        <v>1631</v>
      </c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"/>
    </row>
    <row r="99" spans="1:26" ht="15.75" customHeight="1">
      <c r="D99" s="82"/>
      <c r="E99" s="83" t="s">
        <v>1625</v>
      </c>
      <c r="F99" s="82"/>
      <c r="G99" s="82"/>
      <c r="H99" s="82"/>
      <c r="I99" s="82"/>
      <c r="J99" s="82"/>
      <c r="K99" s="82"/>
      <c r="L99" s="82" t="s">
        <v>1631</v>
      </c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"/>
    </row>
    <row r="100" spans="1:26" ht="15.75" customHeight="1">
      <c r="A100" s="212" t="s">
        <v>136</v>
      </c>
      <c r="B100" s="212"/>
      <c r="C100" s="22" t="s">
        <v>2610</v>
      </c>
      <c r="D100" s="54"/>
      <c r="E100" s="23" t="s">
        <v>1627</v>
      </c>
      <c r="F100" s="54"/>
      <c r="G100" s="16"/>
      <c r="H100" s="54"/>
      <c r="I100" s="54"/>
      <c r="J100" s="54"/>
      <c r="K100" s="54" t="s">
        <v>1617</v>
      </c>
      <c r="L100" s="54" t="s">
        <v>1618</v>
      </c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8"/>
    </row>
    <row r="101" spans="1:26" ht="15.75" customHeight="1">
      <c r="A101" s="21"/>
      <c r="B101" s="21"/>
      <c r="C101" s="22"/>
      <c r="D101" s="54"/>
      <c r="E101" s="23"/>
      <c r="F101" s="54"/>
      <c r="G101" s="16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8"/>
    </row>
    <row r="102" spans="1:26" ht="15.75" customHeight="1">
      <c r="A102" s="24"/>
      <c r="B102" s="24"/>
      <c r="C102" s="24"/>
      <c r="D102" s="205" t="s">
        <v>1599</v>
      </c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8"/>
    </row>
    <row r="103" spans="1:26" ht="15.75" customHeight="1">
      <c r="A103" s="206" t="s">
        <v>1</v>
      </c>
      <c r="B103" s="206" t="s">
        <v>2</v>
      </c>
      <c r="C103" s="206" t="s">
        <v>18</v>
      </c>
      <c r="D103" s="206" t="s">
        <v>137</v>
      </c>
      <c r="E103" s="213" t="s">
        <v>3</v>
      </c>
      <c r="F103" s="208" t="s">
        <v>4</v>
      </c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10"/>
      <c r="V103" s="208" t="s">
        <v>5</v>
      </c>
      <c r="W103" s="209"/>
      <c r="X103" s="210"/>
    </row>
    <row r="104" spans="1:26" ht="15.75" customHeight="1">
      <c r="A104" s="207"/>
      <c r="B104" s="207"/>
      <c r="C104" s="207"/>
      <c r="D104" s="207"/>
      <c r="E104" s="214"/>
      <c r="F104" s="91">
        <v>1</v>
      </c>
      <c r="G104" s="91">
        <v>2</v>
      </c>
      <c r="H104" s="91">
        <v>3</v>
      </c>
      <c r="I104" s="91">
        <v>4</v>
      </c>
      <c r="J104" s="91">
        <v>5</v>
      </c>
      <c r="K104" s="91">
        <v>6</v>
      </c>
      <c r="L104" s="91">
        <v>7</v>
      </c>
      <c r="M104" s="91">
        <v>8</v>
      </c>
      <c r="N104" s="91">
        <v>9</v>
      </c>
      <c r="O104" s="91">
        <v>10</v>
      </c>
      <c r="P104" s="91">
        <v>11</v>
      </c>
      <c r="Q104" s="91">
        <v>12</v>
      </c>
      <c r="R104" s="91">
        <v>13</v>
      </c>
      <c r="S104" s="91">
        <v>14</v>
      </c>
      <c r="T104" s="91">
        <v>15</v>
      </c>
      <c r="U104" s="91">
        <v>16</v>
      </c>
      <c r="V104" s="91" t="s">
        <v>6</v>
      </c>
      <c r="W104" s="91" t="s">
        <v>7</v>
      </c>
      <c r="X104" s="91" t="s">
        <v>8</v>
      </c>
      <c r="Y104" s="9"/>
      <c r="Z104" s="9"/>
    </row>
    <row r="105" spans="1:26" ht="15.75" customHeight="1">
      <c r="A105" s="48"/>
      <c r="B105" s="48"/>
      <c r="C105" s="48"/>
      <c r="D105" s="48"/>
      <c r="E105" s="49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"/>
      <c r="Z105" s="9"/>
    </row>
    <row r="106" spans="1:26" ht="15.75" customHeight="1">
      <c r="A106" s="92">
        <v>1</v>
      </c>
      <c r="B106" s="93"/>
      <c r="C106" s="93" t="s">
        <v>1708</v>
      </c>
      <c r="D106" s="81" t="s">
        <v>1709</v>
      </c>
      <c r="E106" s="87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"/>
      <c r="Z106" s="9"/>
    </row>
    <row r="107" spans="1:26" ht="15.75" customHeight="1">
      <c r="A107" s="92">
        <v>2</v>
      </c>
      <c r="B107" s="93"/>
      <c r="C107" s="93" t="s">
        <v>1710</v>
      </c>
      <c r="D107" s="81" t="s">
        <v>1711</v>
      </c>
      <c r="E107" s="87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"/>
      <c r="Z107" s="9"/>
    </row>
    <row r="108" spans="1:26" ht="15.75" customHeight="1">
      <c r="A108" s="92">
        <v>3</v>
      </c>
      <c r="B108" s="93"/>
      <c r="C108" s="93" t="s">
        <v>1712</v>
      </c>
      <c r="D108" s="81" t="s">
        <v>1713</v>
      </c>
      <c r="E108" s="87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"/>
      <c r="Z108" s="9"/>
    </row>
    <row r="109" spans="1:26" ht="15.75" customHeight="1">
      <c r="A109" s="92">
        <v>4</v>
      </c>
      <c r="B109" s="93"/>
      <c r="C109" s="93" t="s">
        <v>1714</v>
      </c>
      <c r="D109" s="81" t="s">
        <v>1715</v>
      </c>
      <c r="E109" s="87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"/>
      <c r="Z109" s="9"/>
    </row>
    <row r="110" spans="1:26" ht="15.75" customHeight="1">
      <c r="A110" s="92">
        <v>5</v>
      </c>
      <c r="B110" s="93"/>
      <c r="C110" s="93" t="s">
        <v>1716</v>
      </c>
      <c r="D110" s="81" t="s">
        <v>1717</v>
      </c>
      <c r="E110" s="87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"/>
      <c r="Z110" s="9"/>
    </row>
    <row r="111" spans="1:26" ht="15.75" customHeight="1">
      <c r="A111" s="92">
        <v>6</v>
      </c>
      <c r="B111" s="93"/>
      <c r="C111" s="93" t="s">
        <v>1718</v>
      </c>
      <c r="D111" s="81" t="s">
        <v>1719</v>
      </c>
      <c r="E111" s="87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"/>
      <c r="Z111" s="9"/>
    </row>
    <row r="112" spans="1:26" ht="15.75" customHeight="1">
      <c r="A112" s="92">
        <v>7</v>
      </c>
      <c r="B112" s="93"/>
      <c r="C112" s="93" t="s">
        <v>1720</v>
      </c>
      <c r="D112" s="81" t="s">
        <v>1721</v>
      </c>
      <c r="E112" s="87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"/>
      <c r="Z112" s="9"/>
    </row>
    <row r="113" spans="1:26" ht="15.75" customHeight="1">
      <c r="A113" s="92">
        <v>9</v>
      </c>
      <c r="B113" s="93"/>
      <c r="C113" s="93" t="s">
        <v>1724</v>
      </c>
      <c r="D113" s="81" t="s">
        <v>1725</v>
      </c>
      <c r="E113" s="87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"/>
      <c r="Z113" s="9"/>
    </row>
    <row r="114" spans="1:26" ht="15.75" customHeight="1">
      <c r="A114" s="92">
        <v>10</v>
      </c>
      <c r="B114" s="93"/>
      <c r="C114" s="93" t="s">
        <v>1726</v>
      </c>
      <c r="D114" s="81" t="s">
        <v>1727</v>
      </c>
      <c r="E114" s="87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"/>
      <c r="Z114" s="9"/>
    </row>
    <row r="115" spans="1:26" ht="15.75" customHeight="1">
      <c r="A115" s="92">
        <v>11</v>
      </c>
      <c r="B115" s="93"/>
      <c r="C115" s="93" t="s">
        <v>1728</v>
      </c>
      <c r="D115" s="81" t="s">
        <v>1729</v>
      </c>
      <c r="E115" s="87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"/>
      <c r="Z115" s="9"/>
    </row>
    <row r="116" spans="1:26" ht="15.75" customHeight="1">
      <c r="A116" s="92">
        <v>12</v>
      </c>
      <c r="B116" s="93"/>
      <c r="C116" s="93" t="s">
        <v>1730</v>
      </c>
      <c r="D116" s="81" t="s">
        <v>1731</v>
      </c>
      <c r="E116" s="87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"/>
      <c r="Z116" s="9"/>
    </row>
    <row r="117" spans="1:26" ht="15.75" customHeight="1">
      <c r="A117" s="92">
        <v>13</v>
      </c>
      <c r="B117" s="93"/>
      <c r="C117" s="93" t="s">
        <v>1732</v>
      </c>
      <c r="D117" s="81" t="s">
        <v>1733</v>
      </c>
      <c r="E117" s="87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"/>
      <c r="Z117" s="9"/>
    </row>
    <row r="118" spans="1:26" ht="15.75" customHeight="1">
      <c r="A118" s="92">
        <v>14</v>
      </c>
      <c r="B118" s="93"/>
      <c r="C118" s="93" t="s">
        <v>1734</v>
      </c>
      <c r="D118" s="81" t="s">
        <v>1735</v>
      </c>
      <c r="E118" s="87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"/>
      <c r="Z118" s="9"/>
    </row>
    <row r="119" spans="1:26" ht="15.75" customHeight="1">
      <c r="A119" s="92">
        <v>15</v>
      </c>
      <c r="B119" s="93"/>
      <c r="C119" s="93" t="s">
        <v>1736</v>
      </c>
      <c r="D119" s="81" t="s">
        <v>1737</v>
      </c>
      <c r="E119" s="87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"/>
      <c r="Z119" s="9"/>
    </row>
    <row r="120" spans="1:26" ht="15.75" customHeight="1">
      <c r="A120" s="92">
        <v>16</v>
      </c>
      <c r="B120" s="93"/>
      <c r="C120" s="93" t="s">
        <v>1738</v>
      </c>
      <c r="D120" s="81" t="s">
        <v>1739</v>
      </c>
      <c r="E120" s="87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"/>
      <c r="Z120" s="9"/>
    </row>
    <row r="121" spans="1:26" ht="15.75" customHeight="1">
      <c r="A121" s="92">
        <v>17</v>
      </c>
      <c r="B121" s="93"/>
      <c r="C121" s="93" t="s">
        <v>1740</v>
      </c>
      <c r="D121" s="81" t="s">
        <v>1741</v>
      </c>
      <c r="E121" s="87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"/>
      <c r="Z121" s="9"/>
    </row>
    <row r="122" spans="1:26" ht="15.75" customHeight="1">
      <c r="A122" s="92">
        <v>18</v>
      </c>
      <c r="B122" s="93"/>
      <c r="C122" s="93" t="s">
        <v>1742</v>
      </c>
      <c r="D122" s="81" t="s">
        <v>1743</v>
      </c>
      <c r="E122" s="87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"/>
      <c r="Z122" s="9"/>
    </row>
    <row r="123" spans="1:26" ht="15.75" customHeight="1">
      <c r="A123" s="92">
        <v>19</v>
      </c>
      <c r="B123" s="93"/>
      <c r="C123" s="93" t="s">
        <v>1744</v>
      </c>
      <c r="D123" s="81" t="s">
        <v>1745</v>
      </c>
      <c r="E123" s="87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"/>
      <c r="Z123" s="9"/>
    </row>
    <row r="124" spans="1:26" ht="15.75" customHeight="1">
      <c r="A124" s="92">
        <v>20</v>
      </c>
      <c r="B124" s="93"/>
      <c r="C124" s="93" t="s">
        <v>1671</v>
      </c>
      <c r="D124" s="81" t="s">
        <v>1672</v>
      </c>
      <c r="E124" s="87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"/>
      <c r="Z124" s="9"/>
    </row>
    <row r="125" spans="1:26" ht="15.75" customHeight="1">
      <c r="A125" s="92">
        <v>21</v>
      </c>
      <c r="B125" s="93"/>
      <c r="C125" s="93" t="s">
        <v>1746</v>
      </c>
      <c r="D125" s="81" t="s">
        <v>1747</v>
      </c>
      <c r="E125" s="87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"/>
      <c r="Z125" s="9"/>
    </row>
    <row r="126" spans="1:26" ht="15.75" customHeight="1">
      <c r="A126" s="92">
        <v>22</v>
      </c>
      <c r="B126" s="93"/>
      <c r="C126" s="93" t="s">
        <v>1748</v>
      </c>
      <c r="D126" s="81" t="s">
        <v>1749</v>
      </c>
      <c r="E126" s="87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"/>
      <c r="Z126" s="9"/>
    </row>
    <row r="127" spans="1:26" ht="15.75" customHeight="1">
      <c r="A127" s="92">
        <v>23</v>
      </c>
      <c r="B127" s="93"/>
      <c r="C127" s="93" t="s">
        <v>1750</v>
      </c>
      <c r="D127" s="81" t="s">
        <v>1751</v>
      </c>
      <c r="E127" s="87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"/>
      <c r="Z127" s="9"/>
    </row>
    <row r="128" spans="1:26" ht="15.75" customHeight="1">
      <c r="A128" s="92">
        <v>24</v>
      </c>
      <c r="B128" s="93"/>
      <c r="C128" s="93" t="s">
        <v>1752</v>
      </c>
      <c r="D128" s="81" t="s">
        <v>1753</v>
      </c>
      <c r="E128" s="87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"/>
      <c r="Z128" s="9"/>
    </row>
    <row r="129" spans="1:26" ht="15.75" customHeight="1">
      <c r="A129" s="92">
        <v>25</v>
      </c>
      <c r="B129" s="93"/>
      <c r="C129" s="93" t="s">
        <v>1754</v>
      </c>
      <c r="D129" s="81" t="s">
        <v>1755</v>
      </c>
      <c r="E129" s="87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"/>
      <c r="Z129" s="9"/>
    </row>
    <row r="130" spans="1:26" ht="15.75" customHeight="1">
      <c r="A130" s="92">
        <v>26</v>
      </c>
      <c r="B130" s="93"/>
      <c r="C130" s="93" t="s">
        <v>1756</v>
      </c>
      <c r="D130" s="81" t="s">
        <v>1757</v>
      </c>
      <c r="E130" s="87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"/>
      <c r="Z130" s="9"/>
    </row>
    <row r="131" spans="1:26" ht="15.75" customHeight="1">
      <c r="A131" s="92">
        <v>27</v>
      </c>
      <c r="B131" s="93"/>
      <c r="C131" s="93" t="s">
        <v>1758</v>
      </c>
      <c r="D131" s="81" t="s">
        <v>1759</v>
      </c>
      <c r="E131" s="87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"/>
      <c r="Z131" s="9"/>
    </row>
    <row r="132" spans="1:26" ht="15.75" customHeight="1">
      <c r="A132" s="92">
        <v>28</v>
      </c>
      <c r="B132" s="93"/>
      <c r="C132" s="93" t="s">
        <v>1760</v>
      </c>
      <c r="D132" s="81" t="s">
        <v>1761</v>
      </c>
      <c r="E132" s="87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"/>
      <c r="Z132" s="9"/>
    </row>
    <row r="133" spans="1:26" ht="15.75" customHeight="1">
      <c r="A133" s="92">
        <v>29</v>
      </c>
      <c r="B133" s="93"/>
      <c r="C133" s="93" t="s">
        <v>1762</v>
      </c>
      <c r="D133" s="81" t="s">
        <v>1763</v>
      </c>
      <c r="E133" s="87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"/>
      <c r="Z133" s="9"/>
    </row>
    <row r="134" spans="1:26" ht="15.75" customHeight="1">
      <c r="A134" s="92">
        <v>30</v>
      </c>
      <c r="B134" s="93"/>
      <c r="C134" s="93" t="s">
        <v>1764</v>
      </c>
      <c r="D134" s="81" t="s">
        <v>1765</v>
      </c>
      <c r="E134" s="87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"/>
      <c r="Z134" s="9"/>
    </row>
    <row r="135" spans="1:26" ht="15.75" customHeight="1">
      <c r="A135" s="92">
        <v>31</v>
      </c>
      <c r="B135" s="93"/>
      <c r="C135" s="93" t="s">
        <v>1766</v>
      </c>
      <c r="D135" s="81" t="s">
        <v>1767</v>
      </c>
      <c r="E135" s="87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</row>
    <row r="136" spans="1:26" ht="15.75" customHeight="1">
      <c r="A136" s="92">
        <v>32</v>
      </c>
      <c r="B136" s="93"/>
      <c r="C136" s="93" t="s">
        <v>1768</v>
      </c>
      <c r="D136" s="81" t="s">
        <v>1769</v>
      </c>
      <c r="E136" s="87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</row>
    <row r="137" spans="1:26" ht="15.75" customHeight="1">
      <c r="A137" s="92">
        <v>33</v>
      </c>
      <c r="B137" s="93"/>
      <c r="C137" s="93" t="s">
        <v>1770</v>
      </c>
      <c r="D137" s="81" t="s">
        <v>1771</v>
      </c>
      <c r="E137" s="87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</row>
    <row r="138" spans="1:26" ht="15.75" customHeight="1">
      <c r="A138" s="92">
        <v>34</v>
      </c>
      <c r="B138" s="93"/>
      <c r="C138" s="93" t="s">
        <v>1772</v>
      </c>
      <c r="D138" s="81" t="s">
        <v>1773</v>
      </c>
      <c r="E138" s="87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</row>
    <row r="139" spans="1:26" ht="15.75" customHeight="1">
      <c r="A139" s="92">
        <v>35</v>
      </c>
      <c r="B139" s="93"/>
      <c r="C139" s="93" t="s">
        <v>1774</v>
      </c>
      <c r="D139" s="81" t="s">
        <v>1775</v>
      </c>
      <c r="E139" s="87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</row>
    <row r="140" spans="1:26" ht="15.75" customHeight="1">
      <c r="A140" s="92">
        <v>36</v>
      </c>
      <c r="B140" s="93"/>
      <c r="C140" s="93" t="s">
        <v>1776</v>
      </c>
      <c r="D140" s="81" t="s">
        <v>1777</v>
      </c>
      <c r="E140" s="87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</row>
    <row r="141" spans="1:26" ht="15.75" customHeight="1">
      <c r="A141" s="92">
        <v>37</v>
      </c>
      <c r="B141" s="93"/>
      <c r="C141" s="93"/>
      <c r="D141" s="81"/>
      <c r="E141" s="87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</row>
    <row r="142" spans="1:26" ht="15.75" customHeight="1">
      <c r="A142" s="92">
        <v>38</v>
      </c>
      <c r="B142" s="93"/>
      <c r="C142" s="93"/>
      <c r="D142" s="81"/>
      <c r="E142" s="87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</row>
    <row r="143" spans="1:26" ht="15.75" customHeight="1">
      <c r="A143" s="77"/>
      <c r="B143" s="79"/>
      <c r="C143" s="79"/>
      <c r="D143" s="66"/>
      <c r="E143" s="10"/>
    </row>
    <row r="144" spans="1:26">
      <c r="A144" s="3"/>
      <c r="B144" s="3"/>
      <c r="C144" s="3"/>
      <c r="D144" s="3" t="s">
        <v>864</v>
      </c>
      <c r="E144" s="10">
        <f>SUM(E145:E146)</f>
        <v>0</v>
      </c>
      <c r="G144" s="7"/>
      <c r="H144" s="7"/>
    </row>
    <row r="145" spans="1:25">
      <c r="A145" s="3"/>
      <c r="B145" s="3"/>
      <c r="C145" s="3"/>
      <c r="D145" s="43" t="s">
        <v>10</v>
      </c>
      <c r="E145" s="41">
        <f>COUNTIF(E106:E142,"L")</f>
        <v>0</v>
      </c>
      <c r="G145" s="2"/>
    </row>
    <row r="146" spans="1:25">
      <c r="A146" s="3"/>
      <c r="B146" s="3"/>
      <c r="C146" s="3"/>
      <c r="D146" s="43" t="s">
        <v>11</v>
      </c>
      <c r="E146" s="41">
        <f>COUNTIF(E106:E140,"P")</f>
        <v>0</v>
      </c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1"/>
      <c r="S146" s="2"/>
      <c r="T146" s="2"/>
      <c r="U146" s="2"/>
      <c r="V146" s="2"/>
      <c r="W146" s="2"/>
      <c r="X146" s="3"/>
      <c r="Y146" s="2"/>
    </row>
    <row r="147" spans="1:25">
      <c r="A147" s="1" t="s">
        <v>12</v>
      </c>
      <c r="B147" s="1"/>
      <c r="C147" s="1"/>
      <c r="E147" s="1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1" t="s">
        <v>1605</v>
      </c>
      <c r="Q147" s="2"/>
      <c r="T147" s="2"/>
      <c r="U147" s="2"/>
      <c r="V147" s="2"/>
      <c r="W147" s="2"/>
      <c r="X147" s="3"/>
      <c r="Y147" s="2"/>
    </row>
    <row r="148" spans="1:25">
      <c r="A148" s="1" t="s">
        <v>13</v>
      </c>
      <c r="B148" s="1"/>
      <c r="C148" s="1"/>
      <c r="E148" s="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" t="s">
        <v>14</v>
      </c>
      <c r="Q148" s="3"/>
      <c r="S148" s="2"/>
      <c r="T148" s="2"/>
      <c r="U148" s="2"/>
      <c r="V148" s="2"/>
      <c r="W148" s="2"/>
      <c r="X148" s="3"/>
      <c r="Y148" s="2"/>
    </row>
    <row r="149" spans="1:25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"/>
      <c r="Q149" s="3"/>
      <c r="S149" s="2"/>
      <c r="T149" s="2"/>
      <c r="U149" s="2"/>
      <c r="V149" s="2"/>
      <c r="W149" s="2"/>
      <c r="X149" s="3"/>
      <c r="Y149" s="2"/>
    </row>
    <row r="150" spans="1:25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S150" s="2"/>
      <c r="T150" s="2"/>
      <c r="U150" s="2"/>
      <c r="V150" s="2"/>
      <c r="W150" s="2"/>
      <c r="X150" s="2"/>
      <c r="Y150" s="2"/>
    </row>
    <row r="151" spans="1:25" ht="15.75">
      <c r="A151" s="8" t="s">
        <v>854</v>
      </c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8" t="s">
        <v>16</v>
      </c>
      <c r="Q151" s="8"/>
      <c r="S151" s="2"/>
      <c r="T151" s="9"/>
      <c r="U151" s="9"/>
      <c r="V151" s="9"/>
      <c r="W151" s="9"/>
      <c r="X151" s="9"/>
      <c r="Y151" s="9"/>
    </row>
    <row r="152" spans="1:25" ht="15.75">
      <c r="A152" s="8" t="s">
        <v>855</v>
      </c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8" t="s">
        <v>17</v>
      </c>
      <c r="Q152" s="2"/>
      <c r="T152" s="9"/>
      <c r="U152" s="9"/>
      <c r="V152" s="9"/>
    </row>
    <row r="153" spans="1:25" ht="15.75">
      <c r="A153" s="8"/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8"/>
      <c r="Q153" s="2"/>
      <c r="T153" s="9"/>
      <c r="U153" s="9"/>
      <c r="V153" s="9"/>
    </row>
    <row r="154" spans="1:25" ht="15.75">
      <c r="A154" s="8"/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8"/>
      <c r="Q154" s="2"/>
      <c r="T154" s="9"/>
      <c r="U154" s="9"/>
      <c r="V154" s="9"/>
    </row>
    <row r="155" spans="1:25" ht="15.75">
      <c r="A155" s="8"/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8"/>
      <c r="Q155" s="2"/>
      <c r="T155" s="9"/>
      <c r="U155" s="9"/>
      <c r="V155" s="9"/>
    </row>
    <row r="156" spans="1:25" ht="15.75">
      <c r="A156" s="8"/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8"/>
      <c r="Q156" s="2"/>
      <c r="T156" s="9"/>
      <c r="U156" s="9"/>
      <c r="V156" s="9"/>
    </row>
    <row r="157" spans="1:25" ht="15.75">
      <c r="A157" s="8"/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8"/>
      <c r="Q157" s="2"/>
      <c r="T157" s="9"/>
      <c r="U157" s="9"/>
      <c r="V157" s="9"/>
    </row>
    <row r="158" spans="1:25" ht="15.75">
      <c r="A158" s="8"/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8"/>
      <c r="Q158" s="2"/>
      <c r="T158" s="9"/>
      <c r="U158" s="9"/>
      <c r="V158" s="9"/>
    </row>
    <row r="159" spans="1:25" ht="15.75">
      <c r="A159" s="8"/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8"/>
      <c r="Q159" s="2"/>
      <c r="T159" s="9"/>
      <c r="U159" s="9"/>
      <c r="V159" s="9"/>
    </row>
    <row r="160" spans="1:25" ht="15.75">
      <c r="A160" s="8"/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8"/>
      <c r="Q160" s="2"/>
      <c r="T160" s="9"/>
      <c r="U160" s="9"/>
      <c r="V160" s="9"/>
    </row>
    <row r="161" spans="1:25" ht="15.75">
      <c r="A161" s="8"/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8"/>
      <c r="Q161" s="2"/>
      <c r="T161" s="9"/>
      <c r="U161" s="9"/>
      <c r="V161" s="9"/>
    </row>
    <row r="162" spans="1:25" ht="15.75">
      <c r="A162" s="8"/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8"/>
      <c r="Q162" s="2"/>
      <c r="T162" s="9"/>
      <c r="U162" s="9"/>
      <c r="V162" s="9"/>
    </row>
    <row r="163" spans="1:25" ht="15.75">
      <c r="A163" s="8"/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8"/>
      <c r="Q163" s="2"/>
      <c r="T163" s="9"/>
      <c r="U163" s="9"/>
      <c r="V163" s="9"/>
    </row>
    <row r="164" spans="1:25" ht="15.75">
      <c r="A164" s="8"/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8"/>
      <c r="Q164" s="2"/>
      <c r="T164" s="9"/>
      <c r="U164" s="9"/>
      <c r="V164" s="9"/>
    </row>
    <row r="165" spans="1:25" ht="15.75">
      <c r="A165" s="8"/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8"/>
      <c r="Q165" s="2"/>
      <c r="T165" s="9"/>
      <c r="U165" s="9"/>
      <c r="V165" s="9"/>
    </row>
    <row r="166" spans="1:25" ht="15.7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5" ht="15.7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spans="1:25" ht="15.7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spans="1:25" ht="15.7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spans="1:25" ht="15.75" customHeight="1"/>
    <row r="171" spans="1:25" ht="15.75" customHeight="1"/>
    <row r="172" spans="1:25" ht="15.75" customHeight="1"/>
    <row r="173" spans="1:25" ht="15.75" customHeight="1"/>
    <row r="174" spans="1:25" ht="15.75" customHeight="1"/>
    <row r="175" spans="1:25" ht="15.75" customHeight="1"/>
    <row r="176" spans="1:25" ht="15.75" customHeight="1"/>
    <row r="177" spans="1:26" ht="15.75" customHeight="1"/>
    <row r="178" spans="1:26" ht="15.75" customHeight="1">
      <c r="A178" s="211" t="s">
        <v>132</v>
      </c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</row>
    <row r="179" spans="1:26" ht="15.75" customHeight="1">
      <c r="A179" s="211" t="s">
        <v>0</v>
      </c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8"/>
      <c r="Z179" s="8"/>
    </row>
    <row r="180" spans="1:26" ht="15.75" customHeight="1">
      <c r="Y180" s="8"/>
      <c r="Z180" s="8"/>
    </row>
    <row r="181" spans="1:26" ht="15.75" customHeight="1">
      <c r="A181" s="21" t="s">
        <v>133</v>
      </c>
      <c r="B181" s="21"/>
      <c r="C181" s="22" t="s">
        <v>1778</v>
      </c>
      <c r="D181" s="23"/>
      <c r="E181" s="23" t="s">
        <v>1623</v>
      </c>
      <c r="F181" s="54"/>
      <c r="G181" s="54"/>
      <c r="H181" s="54"/>
      <c r="I181" s="54"/>
      <c r="J181" s="54"/>
      <c r="K181" s="54"/>
      <c r="L181" s="54" t="s">
        <v>1630</v>
      </c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8"/>
    </row>
    <row r="182" spans="1:26" ht="15.75" customHeight="1">
      <c r="A182" s="205" t="s">
        <v>134</v>
      </c>
      <c r="B182" s="205"/>
      <c r="C182" s="15" t="s">
        <v>21</v>
      </c>
      <c r="D182" s="82"/>
      <c r="E182" s="14" t="s">
        <v>1621</v>
      </c>
      <c r="F182" s="82"/>
      <c r="G182" s="82"/>
      <c r="H182" s="82"/>
      <c r="I182" s="82"/>
      <c r="J182" s="82"/>
      <c r="K182" s="16"/>
      <c r="L182" s="82" t="s">
        <v>1631</v>
      </c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"/>
    </row>
    <row r="183" spans="1:26" ht="15.75" customHeight="1">
      <c r="D183" s="82"/>
      <c r="E183" s="83" t="s">
        <v>1625</v>
      </c>
      <c r="F183" s="82"/>
      <c r="G183" s="82"/>
      <c r="H183" s="82"/>
      <c r="I183" s="82"/>
      <c r="J183" s="82"/>
      <c r="K183" s="82"/>
      <c r="L183" s="82" t="s">
        <v>1631</v>
      </c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"/>
    </row>
    <row r="184" spans="1:26" ht="15.75" customHeight="1">
      <c r="A184" s="212" t="s">
        <v>136</v>
      </c>
      <c r="B184" s="212"/>
      <c r="C184" s="22" t="s">
        <v>2611</v>
      </c>
      <c r="D184" s="54"/>
      <c r="E184" s="23" t="s">
        <v>1627</v>
      </c>
      <c r="F184" s="54"/>
      <c r="G184" s="16"/>
      <c r="H184" s="54"/>
      <c r="I184" s="54"/>
      <c r="J184" s="54"/>
      <c r="K184" s="54" t="s">
        <v>1617</v>
      </c>
      <c r="L184" s="54" t="s">
        <v>1618</v>
      </c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8"/>
    </row>
    <row r="185" spans="1:26" ht="15.75" customHeight="1">
      <c r="A185" s="21"/>
      <c r="B185" s="21"/>
      <c r="C185" s="22"/>
      <c r="D185" s="54"/>
      <c r="E185" s="23"/>
      <c r="F185" s="54"/>
      <c r="G185" s="16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8"/>
    </row>
    <row r="186" spans="1:26" ht="15.75" customHeight="1">
      <c r="A186" s="24"/>
      <c r="B186" s="24"/>
      <c r="C186" s="24"/>
      <c r="D186" s="205" t="s">
        <v>1599</v>
      </c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8"/>
    </row>
    <row r="187" spans="1:26" ht="15.75" customHeight="1">
      <c r="A187" s="206" t="s">
        <v>1</v>
      </c>
      <c r="B187" s="206" t="s">
        <v>2</v>
      </c>
      <c r="C187" s="206" t="s">
        <v>18</v>
      </c>
      <c r="D187" s="206" t="s">
        <v>137</v>
      </c>
      <c r="E187" s="213" t="s">
        <v>3</v>
      </c>
      <c r="F187" s="208" t="s">
        <v>4</v>
      </c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10"/>
      <c r="V187" s="208" t="s">
        <v>5</v>
      </c>
      <c r="W187" s="209"/>
      <c r="X187" s="210"/>
    </row>
    <row r="188" spans="1:26" ht="15.75" customHeight="1">
      <c r="A188" s="207"/>
      <c r="B188" s="207"/>
      <c r="C188" s="207"/>
      <c r="D188" s="207"/>
      <c r="E188" s="214"/>
      <c r="F188" s="91">
        <v>1</v>
      </c>
      <c r="G188" s="91">
        <v>2</v>
      </c>
      <c r="H188" s="91">
        <v>3</v>
      </c>
      <c r="I188" s="91">
        <v>4</v>
      </c>
      <c r="J188" s="91">
        <v>5</v>
      </c>
      <c r="K188" s="91">
        <v>6</v>
      </c>
      <c r="L188" s="91">
        <v>7</v>
      </c>
      <c r="M188" s="91">
        <v>8</v>
      </c>
      <c r="N188" s="91">
        <v>9</v>
      </c>
      <c r="O188" s="91">
        <v>10</v>
      </c>
      <c r="P188" s="91">
        <v>11</v>
      </c>
      <c r="Q188" s="91">
        <v>12</v>
      </c>
      <c r="R188" s="91">
        <v>13</v>
      </c>
      <c r="S188" s="91">
        <v>14</v>
      </c>
      <c r="T188" s="91">
        <v>15</v>
      </c>
      <c r="U188" s="91">
        <v>16</v>
      </c>
      <c r="V188" s="91" t="s">
        <v>6</v>
      </c>
      <c r="W188" s="91" t="s">
        <v>7</v>
      </c>
      <c r="X188" s="91" t="s">
        <v>8</v>
      </c>
      <c r="Y188" s="9"/>
      <c r="Z188" s="9"/>
    </row>
    <row r="189" spans="1:26" ht="15.75" customHeight="1">
      <c r="A189" s="48"/>
      <c r="B189" s="48"/>
      <c r="C189" s="48"/>
      <c r="D189" s="48"/>
      <c r="E189" s="49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"/>
      <c r="Z189" s="9"/>
    </row>
    <row r="190" spans="1:26" ht="15.75" customHeight="1">
      <c r="A190" s="92">
        <v>1</v>
      </c>
      <c r="B190" s="93"/>
      <c r="C190" s="93" t="s">
        <v>1779</v>
      </c>
      <c r="D190" s="81" t="s">
        <v>1780</v>
      </c>
      <c r="E190" s="87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"/>
      <c r="Z190" s="9"/>
    </row>
    <row r="191" spans="1:26" ht="15.75" customHeight="1">
      <c r="A191" s="92">
        <v>2</v>
      </c>
      <c r="B191" s="93"/>
      <c r="C191" s="93" t="s">
        <v>1781</v>
      </c>
      <c r="D191" s="81" t="s">
        <v>1782</v>
      </c>
      <c r="E191" s="87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"/>
      <c r="Z191" s="9"/>
    </row>
    <row r="192" spans="1:26" ht="15.75" customHeight="1">
      <c r="A192" s="92">
        <v>3</v>
      </c>
      <c r="B192" s="93"/>
      <c r="C192" s="93" t="s">
        <v>1783</v>
      </c>
      <c r="D192" s="81" t="s">
        <v>1784</v>
      </c>
      <c r="E192" s="87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"/>
      <c r="Z192" s="9"/>
    </row>
    <row r="193" spans="1:26" ht="15.75" customHeight="1">
      <c r="A193" s="92">
        <v>4</v>
      </c>
      <c r="B193" s="93"/>
      <c r="C193" s="93" t="s">
        <v>1785</v>
      </c>
      <c r="D193" s="81" t="s">
        <v>1786</v>
      </c>
      <c r="E193" s="87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"/>
      <c r="Z193" s="9"/>
    </row>
    <row r="194" spans="1:26" ht="15.75" customHeight="1">
      <c r="A194" s="92">
        <v>5</v>
      </c>
      <c r="B194" s="93"/>
      <c r="C194" s="93" t="s">
        <v>1787</v>
      </c>
      <c r="D194" s="81" t="s">
        <v>1788</v>
      </c>
      <c r="E194" s="87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"/>
      <c r="Z194" s="9"/>
    </row>
    <row r="195" spans="1:26" ht="15.75" customHeight="1">
      <c r="A195" s="92">
        <v>6</v>
      </c>
      <c r="B195" s="93"/>
      <c r="C195" s="93" t="s">
        <v>1789</v>
      </c>
      <c r="D195" s="81" t="s">
        <v>1790</v>
      </c>
      <c r="E195" s="87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"/>
      <c r="Z195" s="9"/>
    </row>
    <row r="196" spans="1:26" ht="15.75" customHeight="1">
      <c r="A196" s="92">
        <v>7</v>
      </c>
      <c r="B196" s="93"/>
      <c r="C196" s="93" t="s">
        <v>1791</v>
      </c>
      <c r="D196" s="81" t="s">
        <v>1792</v>
      </c>
      <c r="E196" s="87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"/>
      <c r="Z196" s="9"/>
    </row>
    <row r="197" spans="1:26" ht="15.75" customHeight="1">
      <c r="A197" s="92">
        <v>8</v>
      </c>
      <c r="B197" s="93"/>
      <c r="C197" s="93" t="s">
        <v>1793</v>
      </c>
      <c r="D197" s="81" t="s">
        <v>1794</v>
      </c>
      <c r="E197" s="87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"/>
      <c r="Z197" s="9"/>
    </row>
    <row r="198" spans="1:26" ht="15.75" customHeight="1">
      <c r="A198" s="92">
        <v>9</v>
      </c>
      <c r="B198" s="93"/>
      <c r="C198" s="93" t="s">
        <v>1795</v>
      </c>
      <c r="D198" s="81" t="s">
        <v>1796</v>
      </c>
      <c r="E198" s="87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"/>
      <c r="Z198" s="9"/>
    </row>
    <row r="199" spans="1:26" ht="15.75" customHeight="1">
      <c r="A199" s="92">
        <v>10</v>
      </c>
      <c r="B199" s="93"/>
      <c r="C199" s="93" t="s">
        <v>1797</v>
      </c>
      <c r="D199" s="81" t="s">
        <v>1798</v>
      </c>
      <c r="E199" s="87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"/>
      <c r="Z199" s="9"/>
    </row>
    <row r="200" spans="1:26" ht="15.75" customHeight="1">
      <c r="A200" s="92">
        <v>11</v>
      </c>
      <c r="B200" s="93"/>
      <c r="C200" s="93" t="s">
        <v>1799</v>
      </c>
      <c r="D200" s="81" t="s">
        <v>1800</v>
      </c>
      <c r="E200" s="87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"/>
      <c r="Z200" s="9"/>
    </row>
    <row r="201" spans="1:26" ht="15.75" customHeight="1">
      <c r="A201" s="92">
        <v>12</v>
      </c>
      <c r="B201" s="93"/>
      <c r="C201" s="93" t="s">
        <v>1801</v>
      </c>
      <c r="D201" s="81" t="s">
        <v>1802</v>
      </c>
      <c r="E201" s="87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"/>
      <c r="Z201" s="9"/>
    </row>
    <row r="202" spans="1:26" ht="15.75" customHeight="1">
      <c r="A202" s="92">
        <v>13</v>
      </c>
      <c r="B202" s="93"/>
      <c r="C202" s="93" t="s">
        <v>1803</v>
      </c>
      <c r="D202" s="81" t="s">
        <v>1804</v>
      </c>
      <c r="E202" s="87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"/>
      <c r="Z202" s="9"/>
    </row>
    <row r="203" spans="1:26" ht="15.75" customHeight="1">
      <c r="A203" s="92">
        <v>14</v>
      </c>
      <c r="B203" s="93"/>
      <c r="C203" s="93" t="s">
        <v>1805</v>
      </c>
      <c r="D203" s="81" t="s">
        <v>1806</v>
      </c>
      <c r="E203" s="87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"/>
      <c r="Z203" s="9"/>
    </row>
    <row r="204" spans="1:26" ht="15.75" customHeight="1">
      <c r="A204" s="92">
        <v>15</v>
      </c>
      <c r="B204" s="93"/>
      <c r="C204" s="93" t="s">
        <v>1807</v>
      </c>
      <c r="D204" s="81" t="s">
        <v>1808</v>
      </c>
      <c r="E204" s="87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"/>
      <c r="Z204" s="9"/>
    </row>
    <row r="205" spans="1:26" ht="15.75" customHeight="1">
      <c r="A205" s="92">
        <v>16</v>
      </c>
      <c r="B205" s="93"/>
      <c r="C205" s="93" t="s">
        <v>1809</v>
      </c>
      <c r="D205" s="81" t="s">
        <v>1810</v>
      </c>
      <c r="E205" s="87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"/>
      <c r="Z205" s="9"/>
    </row>
    <row r="206" spans="1:26" ht="15.75" customHeight="1">
      <c r="A206" s="92">
        <v>17</v>
      </c>
      <c r="B206" s="93"/>
      <c r="C206" s="93" t="s">
        <v>1811</v>
      </c>
      <c r="D206" s="81" t="s">
        <v>1812</v>
      </c>
      <c r="E206" s="87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"/>
      <c r="Z206" s="9"/>
    </row>
    <row r="207" spans="1:26" ht="15.75" customHeight="1">
      <c r="A207" s="92">
        <v>18</v>
      </c>
      <c r="B207" s="93"/>
      <c r="C207" s="93" t="s">
        <v>1813</v>
      </c>
      <c r="D207" s="81" t="s">
        <v>1814</v>
      </c>
      <c r="E207" s="87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"/>
      <c r="Z207" s="9"/>
    </row>
    <row r="208" spans="1:26" ht="15.75" customHeight="1">
      <c r="A208" s="92">
        <v>19</v>
      </c>
      <c r="B208" s="93"/>
      <c r="C208" s="93" t="s">
        <v>1815</v>
      </c>
      <c r="D208" s="81" t="s">
        <v>1816</v>
      </c>
      <c r="E208" s="87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"/>
      <c r="Z208" s="9"/>
    </row>
    <row r="209" spans="1:26" ht="15.75" customHeight="1">
      <c r="A209" s="92">
        <v>20</v>
      </c>
      <c r="B209" s="93"/>
      <c r="C209" s="93" t="s">
        <v>1817</v>
      </c>
      <c r="D209" s="81" t="s">
        <v>1818</v>
      </c>
      <c r="E209" s="87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"/>
      <c r="Z209" s="9"/>
    </row>
    <row r="210" spans="1:26" ht="15.75" customHeight="1">
      <c r="A210" s="92">
        <v>21</v>
      </c>
      <c r="B210" s="93"/>
      <c r="C210" s="93" t="s">
        <v>1819</v>
      </c>
      <c r="D210" s="81" t="s">
        <v>1820</v>
      </c>
      <c r="E210" s="87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"/>
      <c r="Z210" s="9"/>
    </row>
    <row r="211" spans="1:26" ht="15.75" customHeight="1">
      <c r="A211" s="92">
        <v>22</v>
      </c>
      <c r="B211" s="93"/>
      <c r="C211" s="93" t="s">
        <v>1821</v>
      </c>
      <c r="D211" s="81" t="s">
        <v>1822</v>
      </c>
      <c r="E211" s="87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"/>
      <c r="Z211" s="9"/>
    </row>
    <row r="212" spans="1:26" ht="15.75" customHeight="1">
      <c r="A212" s="92">
        <v>23</v>
      </c>
      <c r="B212" s="93"/>
      <c r="C212" s="93" t="s">
        <v>1823</v>
      </c>
      <c r="D212" s="81" t="s">
        <v>1824</v>
      </c>
      <c r="E212" s="87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"/>
      <c r="Z212" s="9"/>
    </row>
    <row r="213" spans="1:26" ht="15.75" customHeight="1">
      <c r="A213" s="92">
        <v>24</v>
      </c>
      <c r="B213" s="93"/>
      <c r="C213" s="93" t="s">
        <v>1825</v>
      </c>
      <c r="D213" s="81" t="s">
        <v>1826</v>
      </c>
      <c r="E213" s="87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"/>
      <c r="Z213" s="9"/>
    </row>
    <row r="214" spans="1:26" ht="15.75" customHeight="1">
      <c r="A214" s="92">
        <v>25</v>
      </c>
      <c r="B214" s="93"/>
      <c r="C214" s="93" t="s">
        <v>1827</v>
      </c>
      <c r="D214" s="81" t="s">
        <v>1828</v>
      </c>
      <c r="E214" s="87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"/>
      <c r="Z214" s="9"/>
    </row>
    <row r="215" spans="1:26" ht="15.75" customHeight="1">
      <c r="A215" s="92">
        <v>26</v>
      </c>
      <c r="B215" s="93"/>
      <c r="C215" s="93" t="s">
        <v>1829</v>
      </c>
      <c r="D215" s="81" t="s">
        <v>1830</v>
      </c>
      <c r="E215" s="87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"/>
      <c r="Z215" s="9"/>
    </row>
    <row r="216" spans="1:26" ht="15.75" customHeight="1">
      <c r="A216" s="92">
        <v>27</v>
      </c>
      <c r="B216" s="93"/>
      <c r="C216" s="93" t="s">
        <v>1831</v>
      </c>
      <c r="D216" s="81" t="s">
        <v>1832</v>
      </c>
      <c r="E216" s="87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"/>
      <c r="Z216" s="9"/>
    </row>
    <row r="217" spans="1:26" ht="15.75" customHeight="1">
      <c r="A217" s="92">
        <v>28</v>
      </c>
      <c r="B217" s="93"/>
      <c r="C217" s="93" t="s">
        <v>1833</v>
      </c>
      <c r="D217" s="81" t="s">
        <v>1834</v>
      </c>
      <c r="E217" s="87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"/>
      <c r="Z217" s="9"/>
    </row>
    <row r="218" spans="1:26" ht="15.75" customHeight="1">
      <c r="A218" s="92">
        <v>29</v>
      </c>
      <c r="B218" s="93"/>
      <c r="C218" s="93" t="s">
        <v>1835</v>
      </c>
      <c r="D218" s="81" t="s">
        <v>1836</v>
      </c>
      <c r="E218" s="87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"/>
      <c r="Z218" s="9"/>
    </row>
    <row r="219" spans="1:26" ht="15.75" customHeight="1">
      <c r="A219" s="92">
        <v>30</v>
      </c>
      <c r="B219" s="93"/>
      <c r="C219" s="93" t="s">
        <v>1837</v>
      </c>
      <c r="D219" s="81" t="s">
        <v>1838</v>
      </c>
      <c r="E219" s="87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"/>
      <c r="Z219" s="9"/>
    </row>
    <row r="220" spans="1:26" ht="15.75" customHeight="1">
      <c r="A220" s="92">
        <v>31</v>
      </c>
      <c r="B220" s="93"/>
      <c r="C220" s="93" t="s">
        <v>1839</v>
      </c>
      <c r="D220" s="81" t="s">
        <v>1840</v>
      </c>
      <c r="E220" s="87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</row>
    <row r="221" spans="1:26" ht="15.75" customHeight="1">
      <c r="A221" s="92">
        <v>32</v>
      </c>
      <c r="B221" s="93"/>
      <c r="C221" s="93" t="s">
        <v>1841</v>
      </c>
      <c r="D221" s="81" t="s">
        <v>1842</v>
      </c>
      <c r="E221" s="87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</row>
    <row r="222" spans="1:26" ht="15.75" customHeight="1">
      <c r="A222" s="92">
        <v>33</v>
      </c>
      <c r="B222" s="93"/>
      <c r="C222" s="93" t="s">
        <v>1843</v>
      </c>
      <c r="D222" s="81" t="s">
        <v>1844</v>
      </c>
      <c r="E222" s="87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</row>
    <row r="223" spans="1:26" ht="15.75" customHeight="1">
      <c r="A223" s="92">
        <v>34</v>
      </c>
      <c r="B223" s="93"/>
      <c r="C223" s="93" t="s">
        <v>1845</v>
      </c>
      <c r="D223" s="81" t="s">
        <v>1846</v>
      </c>
      <c r="E223" s="87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</row>
    <row r="224" spans="1:26" ht="15.75" customHeight="1">
      <c r="A224" s="92">
        <v>35</v>
      </c>
      <c r="B224" s="93"/>
      <c r="C224" s="93" t="s">
        <v>1847</v>
      </c>
      <c r="D224" s="81" t="s">
        <v>1848</v>
      </c>
      <c r="E224" s="87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</row>
    <row r="225" spans="1:25" ht="15.75" customHeight="1">
      <c r="A225" s="92">
        <v>36</v>
      </c>
      <c r="B225" s="93"/>
      <c r="C225" s="93"/>
      <c r="D225" s="81"/>
      <c r="E225" s="87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</row>
    <row r="226" spans="1:25" ht="15.75" customHeight="1">
      <c r="A226" s="92">
        <v>37</v>
      </c>
      <c r="B226" s="93"/>
      <c r="C226" s="93"/>
      <c r="D226" s="81"/>
      <c r="E226" s="87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</row>
    <row r="227" spans="1:25" ht="15.75" customHeight="1">
      <c r="A227" s="92">
        <v>38</v>
      </c>
      <c r="B227" s="93"/>
      <c r="C227" s="93"/>
      <c r="D227" s="81"/>
      <c r="E227" s="87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</row>
    <row r="228" spans="1:25" ht="15.75" customHeight="1">
      <c r="A228" s="77"/>
      <c r="B228" s="79"/>
      <c r="C228" s="79"/>
      <c r="D228" s="66"/>
      <c r="E228" s="10"/>
    </row>
    <row r="229" spans="1:25">
      <c r="A229" s="3"/>
      <c r="B229" s="3"/>
      <c r="C229" s="3"/>
      <c r="D229" s="3" t="s">
        <v>864</v>
      </c>
      <c r="E229" s="10">
        <f>SUM(E230:E231)</f>
        <v>0</v>
      </c>
      <c r="G229" s="7"/>
      <c r="H229" s="7"/>
    </row>
    <row r="230" spans="1:25">
      <c r="A230" s="3"/>
      <c r="B230" s="3"/>
      <c r="C230" s="3"/>
      <c r="D230" s="43" t="s">
        <v>10</v>
      </c>
      <c r="E230" s="41">
        <f>COUNTIF(E190:E227,"L")</f>
        <v>0</v>
      </c>
      <c r="G230" s="2"/>
    </row>
    <row r="231" spans="1:25">
      <c r="A231" s="3"/>
      <c r="B231" s="3"/>
      <c r="C231" s="3"/>
      <c r="D231" s="43" t="s">
        <v>11</v>
      </c>
      <c r="E231" s="41">
        <f>COUNTIF(E190:E225,"P")</f>
        <v>0</v>
      </c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1"/>
      <c r="S231" s="2"/>
      <c r="T231" s="2"/>
      <c r="U231" s="2"/>
      <c r="V231" s="2"/>
      <c r="W231" s="2"/>
      <c r="X231" s="3"/>
      <c r="Y231" s="2"/>
    </row>
    <row r="232" spans="1:25">
      <c r="A232" s="1" t="s">
        <v>12</v>
      </c>
      <c r="B232" s="1"/>
      <c r="C232" s="1"/>
      <c r="E232" s="1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1" t="s">
        <v>1605</v>
      </c>
      <c r="Q232" s="2"/>
      <c r="T232" s="2"/>
      <c r="U232" s="2"/>
      <c r="V232" s="2"/>
      <c r="W232" s="2"/>
      <c r="X232" s="3"/>
      <c r="Y232" s="2"/>
    </row>
    <row r="233" spans="1:25">
      <c r="A233" s="1" t="s">
        <v>13</v>
      </c>
      <c r="B233" s="1"/>
      <c r="C233" s="1"/>
      <c r="E233" s="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" t="s">
        <v>14</v>
      </c>
      <c r="Q233" s="3"/>
      <c r="S233" s="2"/>
      <c r="T233" s="2"/>
      <c r="U233" s="2"/>
      <c r="V233" s="2"/>
      <c r="W233" s="2"/>
      <c r="X233" s="3"/>
      <c r="Y233" s="2"/>
    </row>
    <row r="234" spans="1:25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"/>
      <c r="Q234" s="3"/>
      <c r="S234" s="2"/>
      <c r="T234" s="2"/>
      <c r="U234" s="2"/>
      <c r="V234" s="2"/>
      <c r="W234" s="2"/>
      <c r="X234" s="3"/>
      <c r="Y234" s="2"/>
    </row>
    <row r="235" spans="1:25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S235" s="2"/>
      <c r="T235" s="2"/>
      <c r="U235" s="2"/>
      <c r="V235" s="2"/>
      <c r="W235" s="2"/>
      <c r="X235" s="2"/>
      <c r="Y235" s="2"/>
    </row>
    <row r="236" spans="1:25" ht="15.75">
      <c r="A236" s="8" t="s">
        <v>854</v>
      </c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8" t="s">
        <v>16</v>
      </c>
      <c r="Q236" s="8"/>
      <c r="S236" s="2"/>
      <c r="T236" s="9"/>
      <c r="U236" s="9"/>
      <c r="V236" s="9"/>
      <c r="W236" s="9"/>
      <c r="X236" s="9"/>
      <c r="Y236" s="9"/>
    </row>
    <row r="237" spans="1:25" ht="15.75">
      <c r="A237" s="8" t="s">
        <v>855</v>
      </c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8" t="s">
        <v>17</v>
      </c>
      <c r="Q237" s="2"/>
      <c r="T237" s="9"/>
      <c r="U237" s="9"/>
      <c r="V237" s="9"/>
    </row>
    <row r="238" spans="1:25" ht="15.7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 spans="1:25" ht="15.7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 spans="1:25" ht="15.7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 spans="1:25" ht="15.7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 spans="1:25" ht="15.7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 spans="1:25" ht="15.7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 spans="1:25" ht="15.7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 spans="1:25" ht="15.7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 spans="1:25" ht="15.7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 spans="1:25" ht="15.7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 spans="1:25" ht="15.7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 spans="1:25" ht="15.7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 spans="1:25" ht="15.7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 spans="1:25" ht="15.7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 spans="1:25" ht="15.7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 spans="1:25" ht="15.7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 spans="1:25" ht="15.7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 spans="1:25" ht="15.7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 spans="1:25" ht="15.75" customHeight="1"/>
    <row r="257" spans="1:26" ht="15.75" customHeight="1"/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>
      <c r="A264" s="211" t="s">
        <v>132</v>
      </c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</row>
    <row r="265" spans="1:26" ht="15.75" customHeight="1">
      <c r="A265" s="211" t="s">
        <v>0</v>
      </c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8"/>
      <c r="Z265" s="8"/>
    </row>
    <row r="266" spans="1:26" ht="15.75" customHeight="1">
      <c r="Y266" s="8"/>
      <c r="Z266" s="8"/>
    </row>
    <row r="267" spans="1:26" ht="15.75" customHeight="1">
      <c r="A267" s="21" t="s">
        <v>133</v>
      </c>
      <c r="B267" s="21"/>
      <c r="C267" s="22" t="s">
        <v>1849</v>
      </c>
      <c r="D267" s="23"/>
      <c r="E267" s="23" t="s">
        <v>1623</v>
      </c>
      <c r="F267" s="54"/>
      <c r="G267" s="54"/>
      <c r="H267" s="54"/>
      <c r="I267" s="54"/>
      <c r="J267" s="54"/>
      <c r="K267" s="54"/>
      <c r="L267" s="54" t="s">
        <v>1630</v>
      </c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8"/>
    </row>
    <row r="268" spans="1:26" ht="15.75" customHeight="1">
      <c r="A268" s="205" t="s">
        <v>134</v>
      </c>
      <c r="B268" s="205"/>
      <c r="C268" s="15" t="s">
        <v>21</v>
      </c>
      <c r="D268" s="82"/>
      <c r="E268" s="14" t="s">
        <v>1621</v>
      </c>
      <c r="F268" s="82"/>
      <c r="G268" s="82"/>
      <c r="H268" s="82"/>
      <c r="I268" s="82"/>
      <c r="J268" s="82"/>
      <c r="K268" s="16"/>
      <c r="L268" s="82" t="s">
        <v>1631</v>
      </c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"/>
    </row>
    <row r="269" spans="1:26" ht="15.75" customHeight="1">
      <c r="D269" s="82"/>
      <c r="E269" s="83" t="s">
        <v>1625</v>
      </c>
      <c r="F269" s="82"/>
      <c r="G269" s="82"/>
      <c r="H269" s="82"/>
      <c r="I269" s="82"/>
      <c r="J269" s="82"/>
      <c r="K269" s="82"/>
      <c r="L269" s="82" t="s">
        <v>1631</v>
      </c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"/>
    </row>
    <row r="270" spans="1:26" ht="15.75" customHeight="1">
      <c r="A270" s="212" t="s">
        <v>136</v>
      </c>
      <c r="B270" s="212"/>
      <c r="C270" s="22" t="s">
        <v>2608</v>
      </c>
      <c r="D270" s="54"/>
      <c r="E270" s="23" t="s">
        <v>1627</v>
      </c>
      <c r="F270" s="54"/>
      <c r="G270" s="16"/>
      <c r="H270" s="54"/>
      <c r="I270" s="54"/>
      <c r="J270" s="54"/>
      <c r="K270" s="54" t="s">
        <v>1617</v>
      </c>
      <c r="L270" s="54" t="s">
        <v>1618</v>
      </c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8"/>
    </row>
    <row r="271" spans="1:26" ht="15.75" customHeight="1">
      <c r="A271" s="21"/>
      <c r="B271" s="21"/>
      <c r="C271" s="22"/>
      <c r="D271" s="54"/>
      <c r="E271" s="23"/>
      <c r="F271" s="54"/>
      <c r="G271" s="16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8"/>
    </row>
    <row r="272" spans="1:26" ht="15.75" customHeight="1">
      <c r="A272" s="24"/>
      <c r="B272" s="24"/>
      <c r="C272" s="24"/>
      <c r="D272" s="205" t="s">
        <v>1599</v>
      </c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8"/>
    </row>
    <row r="273" spans="1:26" ht="15.75" customHeight="1">
      <c r="A273" s="206" t="s">
        <v>1</v>
      </c>
      <c r="B273" s="206" t="s">
        <v>2</v>
      </c>
      <c r="C273" s="206" t="s">
        <v>18</v>
      </c>
      <c r="D273" s="206" t="s">
        <v>137</v>
      </c>
      <c r="E273" s="213" t="s">
        <v>3</v>
      </c>
      <c r="F273" s="208" t="s">
        <v>4</v>
      </c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10"/>
      <c r="V273" s="208" t="s">
        <v>5</v>
      </c>
      <c r="W273" s="209"/>
      <c r="X273" s="210"/>
    </row>
    <row r="274" spans="1:26" ht="15.75" customHeight="1">
      <c r="A274" s="207"/>
      <c r="B274" s="207"/>
      <c r="C274" s="207"/>
      <c r="D274" s="207"/>
      <c r="E274" s="214"/>
      <c r="F274" s="91">
        <v>1</v>
      </c>
      <c r="G274" s="91">
        <v>2</v>
      </c>
      <c r="H274" s="91">
        <v>3</v>
      </c>
      <c r="I274" s="91">
        <v>4</v>
      </c>
      <c r="J274" s="91">
        <v>5</v>
      </c>
      <c r="K274" s="91">
        <v>6</v>
      </c>
      <c r="L274" s="91">
        <v>7</v>
      </c>
      <c r="M274" s="91">
        <v>8</v>
      </c>
      <c r="N274" s="91">
        <v>9</v>
      </c>
      <c r="O274" s="91">
        <v>10</v>
      </c>
      <c r="P274" s="91">
        <v>11</v>
      </c>
      <c r="Q274" s="91">
        <v>12</v>
      </c>
      <c r="R274" s="91">
        <v>13</v>
      </c>
      <c r="S274" s="91">
        <v>14</v>
      </c>
      <c r="T274" s="91">
        <v>15</v>
      </c>
      <c r="U274" s="91">
        <v>16</v>
      </c>
      <c r="V274" s="91" t="s">
        <v>6</v>
      </c>
      <c r="W274" s="91" t="s">
        <v>7</v>
      </c>
      <c r="X274" s="91" t="s">
        <v>8</v>
      </c>
      <c r="Y274" s="9"/>
      <c r="Z274" s="9"/>
    </row>
    <row r="275" spans="1:26" ht="15.75" customHeight="1">
      <c r="A275" s="48"/>
      <c r="B275" s="48"/>
      <c r="C275" s="48"/>
      <c r="D275" s="48"/>
      <c r="E275" s="49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"/>
      <c r="Z275" s="9"/>
    </row>
    <row r="276" spans="1:26" ht="15.75" customHeight="1">
      <c r="A276" s="92">
        <v>1</v>
      </c>
      <c r="B276" s="93"/>
      <c r="C276" s="93" t="s">
        <v>1850</v>
      </c>
      <c r="D276" s="81" t="s">
        <v>1851</v>
      </c>
      <c r="E276" s="87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"/>
      <c r="Z276" s="9"/>
    </row>
    <row r="277" spans="1:26" ht="15.75" customHeight="1">
      <c r="A277" s="92">
        <v>2</v>
      </c>
      <c r="B277" s="93"/>
      <c r="C277" s="93" t="s">
        <v>1852</v>
      </c>
      <c r="D277" s="81" t="s">
        <v>1853</v>
      </c>
      <c r="E277" s="87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"/>
      <c r="Z277" s="9"/>
    </row>
    <row r="278" spans="1:26" ht="15.75" customHeight="1">
      <c r="A278" s="92">
        <v>3</v>
      </c>
      <c r="B278" s="93"/>
      <c r="C278" s="93" t="s">
        <v>1854</v>
      </c>
      <c r="D278" s="81" t="s">
        <v>1855</v>
      </c>
      <c r="E278" s="87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"/>
      <c r="Z278" s="9"/>
    </row>
    <row r="279" spans="1:26" ht="15.75" customHeight="1">
      <c r="A279" s="92">
        <v>4</v>
      </c>
      <c r="B279" s="93"/>
      <c r="C279" s="93" t="s">
        <v>1856</v>
      </c>
      <c r="D279" s="81" t="s">
        <v>1857</v>
      </c>
      <c r="E279" s="87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"/>
      <c r="Z279" s="9"/>
    </row>
    <row r="280" spans="1:26" ht="15.75" customHeight="1">
      <c r="A280" s="92">
        <v>5</v>
      </c>
      <c r="B280" s="93"/>
      <c r="C280" s="93" t="s">
        <v>1858</v>
      </c>
      <c r="D280" s="81" t="s">
        <v>1859</v>
      </c>
      <c r="E280" s="87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"/>
      <c r="Z280" s="9"/>
    </row>
    <row r="281" spans="1:26" ht="15.75" customHeight="1">
      <c r="A281" s="92">
        <v>6</v>
      </c>
      <c r="B281" s="93"/>
      <c r="C281" s="93" t="s">
        <v>1860</v>
      </c>
      <c r="D281" s="81" t="s">
        <v>1861</v>
      </c>
      <c r="E281" s="87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"/>
      <c r="Z281" s="9"/>
    </row>
    <row r="282" spans="1:26" ht="15.75" customHeight="1">
      <c r="A282" s="92">
        <v>7</v>
      </c>
      <c r="B282" s="93"/>
      <c r="C282" s="93" t="s">
        <v>1862</v>
      </c>
      <c r="D282" s="81" t="s">
        <v>1863</v>
      </c>
      <c r="E282" s="87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"/>
      <c r="Z282" s="9"/>
    </row>
    <row r="283" spans="1:26" ht="15.75" customHeight="1">
      <c r="A283" s="92">
        <v>8</v>
      </c>
      <c r="B283" s="93"/>
      <c r="C283" s="93" t="s">
        <v>1864</v>
      </c>
      <c r="D283" s="81" t="s">
        <v>1865</v>
      </c>
      <c r="E283" s="87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"/>
      <c r="Z283" s="9"/>
    </row>
    <row r="284" spans="1:26" ht="15.75" customHeight="1">
      <c r="A284" s="92">
        <v>9</v>
      </c>
      <c r="B284" s="93"/>
      <c r="C284" s="93" t="s">
        <v>1866</v>
      </c>
      <c r="D284" s="81" t="s">
        <v>1867</v>
      </c>
      <c r="E284" s="87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"/>
      <c r="Z284" s="9"/>
    </row>
    <row r="285" spans="1:26" ht="15.75" customHeight="1">
      <c r="A285" s="92">
        <v>10</v>
      </c>
      <c r="B285" s="93"/>
      <c r="C285" s="93" t="s">
        <v>1868</v>
      </c>
      <c r="D285" s="81" t="s">
        <v>1869</v>
      </c>
      <c r="E285" s="87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"/>
      <c r="Z285" s="9"/>
    </row>
    <row r="286" spans="1:26" ht="15.75" customHeight="1">
      <c r="A286" s="92">
        <v>11</v>
      </c>
      <c r="B286" s="93"/>
      <c r="C286" s="93" t="s">
        <v>1870</v>
      </c>
      <c r="D286" s="81" t="s">
        <v>1871</v>
      </c>
      <c r="E286" s="87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"/>
      <c r="Z286" s="9"/>
    </row>
    <row r="287" spans="1:26" ht="15.75" customHeight="1">
      <c r="A287" s="92">
        <v>12</v>
      </c>
      <c r="B287" s="93"/>
      <c r="C287" s="93" t="s">
        <v>1872</v>
      </c>
      <c r="D287" s="81" t="s">
        <v>1873</v>
      </c>
      <c r="E287" s="87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"/>
      <c r="Z287" s="9"/>
    </row>
    <row r="288" spans="1:26" ht="15.75" customHeight="1">
      <c r="A288" s="92">
        <v>13</v>
      </c>
      <c r="B288" s="93"/>
      <c r="C288" s="93" t="s">
        <v>1874</v>
      </c>
      <c r="D288" s="81" t="s">
        <v>1875</v>
      </c>
      <c r="E288" s="87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"/>
      <c r="Z288" s="9"/>
    </row>
    <row r="289" spans="1:26" ht="15.75" customHeight="1">
      <c r="A289" s="92">
        <v>14</v>
      </c>
      <c r="B289" s="93"/>
      <c r="C289" s="93" t="s">
        <v>1876</v>
      </c>
      <c r="D289" s="81" t="s">
        <v>1877</v>
      </c>
      <c r="E289" s="87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"/>
      <c r="Z289" s="9"/>
    </row>
    <row r="290" spans="1:26" ht="15.75" customHeight="1">
      <c r="A290" s="92">
        <v>15</v>
      </c>
      <c r="B290" s="93"/>
      <c r="C290" s="93" t="s">
        <v>1878</v>
      </c>
      <c r="D290" s="81" t="s">
        <v>1879</v>
      </c>
      <c r="E290" s="87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"/>
      <c r="Z290" s="9"/>
    </row>
    <row r="291" spans="1:26" ht="15.75" customHeight="1">
      <c r="A291" s="92">
        <v>16</v>
      </c>
      <c r="B291" s="93"/>
      <c r="C291" s="93" t="s">
        <v>1880</v>
      </c>
      <c r="D291" s="81" t="s">
        <v>1881</v>
      </c>
      <c r="E291" s="87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"/>
      <c r="Z291" s="9"/>
    </row>
    <row r="292" spans="1:26" ht="15.75" customHeight="1">
      <c r="A292" s="92">
        <v>17</v>
      </c>
      <c r="B292" s="93"/>
      <c r="C292" s="93" t="s">
        <v>1882</v>
      </c>
      <c r="D292" s="81" t="s">
        <v>1883</v>
      </c>
      <c r="E292" s="87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"/>
      <c r="Z292" s="9"/>
    </row>
    <row r="293" spans="1:26" ht="15.75" customHeight="1">
      <c r="A293" s="92">
        <v>18</v>
      </c>
      <c r="B293" s="93"/>
      <c r="C293" s="93" t="s">
        <v>1884</v>
      </c>
      <c r="D293" s="81" t="s">
        <v>1885</v>
      </c>
      <c r="E293" s="87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"/>
      <c r="Z293" s="9"/>
    </row>
    <row r="294" spans="1:26" ht="15.75" customHeight="1">
      <c r="A294" s="92">
        <v>19</v>
      </c>
      <c r="B294" s="93"/>
      <c r="C294" s="93" t="s">
        <v>1886</v>
      </c>
      <c r="D294" s="81" t="s">
        <v>1887</v>
      </c>
      <c r="E294" s="87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"/>
      <c r="Z294" s="9"/>
    </row>
    <row r="295" spans="1:26" ht="15.75" customHeight="1">
      <c r="A295" s="92">
        <v>20</v>
      </c>
      <c r="B295" s="93"/>
      <c r="C295" s="93" t="s">
        <v>1888</v>
      </c>
      <c r="D295" s="81" t="s">
        <v>1889</v>
      </c>
      <c r="E295" s="87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"/>
      <c r="Z295" s="9"/>
    </row>
    <row r="296" spans="1:26" ht="15.75" customHeight="1">
      <c r="A296" s="92">
        <v>21</v>
      </c>
      <c r="B296" s="93"/>
      <c r="C296" s="93" t="s">
        <v>1890</v>
      </c>
      <c r="D296" s="81" t="s">
        <v>1891</v>
      </c>
      <c r="E296" s="87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"/>
      <c r="Z296" s="9"/>
    </row>
    <row r="297" spans="1:26" ht="15.75" customHeight="1">
      <c r="A297" s="92">
        <v>22</v>
      </c>
      <c r="B297" s="93"/>
      <c r="C297" s="93" t="s">
        <v>1892</v>
      </c>
      <c r="D297" s="81" t="s">
        <v>1893</v>
      </c>
      <c r="E297" s="87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"/>
      <c r="Z297" s="9"/>
    </row>
    <row r="298" spans="1:26" ht="15.75" customHeight="1">
      <c r="A298" s="92">
        <v>23</v>
      </c>
      <c r="B298" s="93"/>
      <c r="C298" s="93" t="s">
        <v>1894</v>
      </c>
      <c r="D298" s="81" t="s">
        <v>1895</v>
      </c>
      <c r="E298" s="87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"/>
      <c r="Z298" s="9"/>
    </row>
    <row r="299" spans="1:26" ht="15.75" customHeight="1">
      <c r="A299" s="92">
        <v>24</v>
      </c>
      <c r="B299" s="93"/>
      <c r="C299" s="93" t="s">
        <v>1896</v>
      </c>
      <c r="D299" s="81" t="s">
        <v>1897</v>
      </c>
      <c r="E299" s="87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"/>
      <c r="Z299" s="9"/>
    </row>
    <row r="300" spans="1:26" ht="15.75" customHeight="1">
      <c r="A300" s="92">
        <v>25</v>
      </c>
      <c r="B300" s="93"/>
      <c r="C300" s="93" t="s">
        <v>1898</v>
      </c>
      <c r="D300" s="81" t="s">
        <v>1899</v>
      </c>
      <c r="E300" s="87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"/>
      <c r="Z300" s="9"/>
    </row>
    <row r="301" spans="1:26" ht="15.75" customHeight="1">
      <c r="A301" s="92">
        <v>26</v>
      </c>
      <c r="B301" s="93"/>
      <c r="C301" s="93" t="s">
        <v>1900</v>
      </c>
      <c r="D301" s="81" t="s">
        <v>1901</v>
      </c>
      <c r="E301" s="87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"/>
      <c r="Z301" s="9"/>
    </row>
    <row r="302" spans="1:26" ht="15.75" customHeight="1">
      <c r="A302" s="92">
        <v>27</v>
      </c>
      <c r="B302" s="93"/>
      <c r="C302" s="93" t="s">
        <v>1902</v>
      </c>
      <c r="D302" s="81" t="s">
        <v>1903</v>
      </c>
      <c r="E302" s="87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"/>
      <c r="Z302" s="9"/>
    </row>
    <row r="303" spans="1:26" ht="15.75" customHeight="1">
      <c r="A303" s="92">
        <v>28</v>
      </c>
      <c r="B303" s="93"/>
      <c r="C303" s="93" t="s">
        <v>1904</v>
      </c>
      <c r="D303" s="81" t="s">
        <v>1905</v>
      </c>
      <c r="E303" s="87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"/>
      <c r="Z303" s="9"/>
    </row>
    <row r="304" spans="1:26" ht="15.75" customHeight="1">
      <c r="A304" s="92">
        <v>29</v>
      </c>
      <c r="B304" s="93"/>
      <c r="C304" s="93" t="s">
        <v>1906</v>
      </c>
      <c r="D304" s="81" t="s">
        <v>1907</v>
      </c>
      <c r="E304" s="87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"/>
      <c r="Z304" s="9"/>
    </row>
    <row r="305" spans="1:26" ht="15.75" customHeight="1">
      <c r="A305" s="92">
        <v>30</v>
      </c>
      <c r="B305" s="93"/>
      <c r="C305" s="93" t="s">
        <v>1908</v>
      </c>
      <c r="D305" s="81" t="s">
        <v>1909</v>
      </c>
      <c r="E305" s="87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"/>
      <c r="Z305" s="9"/>
    </row>
    <row r="306" spans="1:26" ht="15.75" customHeight="1">
      <c r="A306" s="92">
        <v>31</v>
      </c>
      <c r="B306" s="93"/>
      <c r="C306" s="93" t="s">
        <v>1910</v>
      </c>
      <c r="D306" s="81" t="s">
        <v>1911</v>
      </c>
      <c r="E306" s="87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</row>
    <row r="307" spans="1:26" ht="15.75" customHeight="1">
      <c r="A307" s="92">
        <v>32</v>
      </c>
      <c r="B307" s="93"/>
      <c r="C307" s="93" t="s">
        <v>1912</v>
      </c>
      <c r="D307" s="81" t="s">
        <v>1913</v>
      </c>
      <c r="E307" s="87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</row>
    <row r="308" spans="1:26" ht="15.75" customHeight="1">
      <c r="A308" s="92">
        <v>33</v>
      </c>
      <c r="B308" s="93"/>
      <c r="C308" s="93" t="s">
        <v>1914</v>
      </c>
      <c r="D308" s="81" t="s">
        <v>1915</v>
      </c>
      <c r="E308" s="87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</row>
    <row r="309" spans="1:26" ht="15.75" customHeight="1">
      <c r="A309" s="92">
        <v>34</v>
      </c>
      <c r="B309" s="93"/>
      <c r="C309" s="93" t="s">
        <v>1916</v>
      </c>
      <c r="D309" s="81" t="s">
        <v>1917</v>
      </c>
      <c r="E309" s="87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</row>
    <row r="310" spans="1:26" ht="15.75" customHeight="1">
      <c r="A310" s="92">
        <v>35</v>
      </c>
      <c r="B310" s="93"/>
      <c r="C310" s="93" t="s">
        <v>1918</v>
      </c>
      <c r="D310" s="81" t="s">
        <v>1919</v>
      </c>
      <c r="E310" s="87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</row>
    <row r="311" spans="1:26" ht="15.75" customHeight="1">
      <c r="A311" s="92">
        <v>36</v>
      </c>
      <c r="B311" s="93"/>
      <c r="C311" s="93"/>
      <c r="D311" s="81"/>
      <c r="E311" s="87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</row>
    <row r="312" spans="1:26" ht="15.75" customHeight="1">
      <c r="A312" s="92">
        <v>37</v>
      </c>
      <c r="B312" s="93"/>
      <c r="C312" s="93"/>
      <c r="D312" s="81"/>
      <c r="E312" s="87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</row>
    <row r="313" spans="1:26" ht="15.75" customHeight="1">
      <c r="A313" s="92">
        <v>38</v>
      </c>
      <c r="B313" s="93"/>
      <c r="C313" s="93"/>
      <c r="D313" s="81"/>
      <c r="E313" s="87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</row>
    <row r="314" spans="1:26" ht="15.75" customHeight="1">
      <c r="A314" s="77"/>
      <c r="B314" s="79"/>
      <c r="C314" s="79"/>
      <c r="D314" s="66"/>
      <c r="E314" s="10"/>
    </row>
    <row r="315" spans="1:26">
      <c r="A315" s="3"/>
      <c r="B315" s="3"/>
      <c r="C315" s="3"/>
      <c r="D315" s="3" t="s">
        <v>864</v>
      </c>
      <c r="E315" s="10">
        <f>SUM(E316:E317)</f>
        <v>0</v>
      </c>
      <c r="G315" s="7"/>
      <c r="H315" s="7"/>
    </row>
    <row r="316" spans="1:26">
      <c r="A316" s="3"/>
      <c r="B316" s="3"/>
      <c r="C316" s="3"/>
      <c r="D316" s="43" t="s">
        <v>10</v>
      </c>
      <c r="E316" s="41">
        <f>COUNTIF(E276:E313,"L")</f>
        <v>0</v>
      </c>
      <c r="G316" s="2"/>
    </row>
    <row r="317" spans="1:26">
      <c r="A317" s="3"/>
      <c r="B317" s="3"/>
      <c r="C317" s="3"/>
      <c r="D317" s="43" t="s">
        <v>11</v>
      </c>
      <c r="E317" s="41">
        <f>COUNTIF(E276:E311,"P")</f>
        <v>0</v>
      </c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1"/>
      <c r="S317" s="2"/>
      <c r="T317" s="2"/>
      <c r="U317" s="2"/>
      <c r="V317" s="2"/>
      <c r="W317" s="2"/>
      <c r="X317" s="3"/>
      <c r="Y317" s="2"/>
    </row>
    <row r="318" spans="1:26">
      <c r="A318" s="1" t="s">
        <v>12</v>
      </c>
      <c r="B318" s="1"/>
      <c r="C318" s="1"/>
      <c r="E318" s="1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1" t="s">
        <v>1605</v>
      </c>
      <c r="Q318" s="2"/>
      <c r="T318" s="2"/>
      <c r="U318" s="2"/>
      <c r="V318" s="2"/>
      <c r="W318" s="2"/>
      <c r="X318" s="3"/>
      <c r="Y318" s="2"/>
    </row>
    <row r="319" spans="1:26">
      <c r="A319" s="1" t="s">
        <v>13</v>
      </c>
      <c r="B319" s="1"/>
      <c r="C319" s="1"/>
      <c r="E319" s="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1" t="s">
        <v>14</v>
      </c>
      <c r="Q319" s="3"/>
      <c r="S319" s="2"/>
      <c r="T319" s="2"/>
      <c r="U319" s="2"/>
      <c r="V319" s="2"/>
      <c r="W319" s="2"/>
      <c r="X319" s="3"/>
      <c r="Y319" s="2"/>
    </row>
    <row r="320" spans="1:26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1"/>
      <c r="Q320" s="3"/>
      <c r="S320" s="2"/>
      <c r="T320" s="2"/>
      <c r="U320" s="2"/>
      <c r="V320" s="2"/>
      <c r="W320" s="2"/>
      <c r="X320" s="3"/>
      <c r="Y320" s="2"/>
    </row>
    <row r="321" spans="1:25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S321" s="2"/>
      <c r="T321" s="2"/>
      <c r="U321" s="2"/>
      <c r="V321" s="2"/>
      <c r="W321" s="2"/>
      <c r="X321" s="2"/>
      <c r="Y321" s="2"/>
    </row>
    <row r="322" spans="1:25" ht="15.75">
      <c r="A322" s="8" t="s">
        <v>854</v>
      </c>
      <c r="B322" s="8"/>
      <c r="C322" s="8"/>
      <c r="D322" s="8"/>
      <c r="E322" s="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8" t="s">
        <v>16</v>
      </c>
      <c r="Q322" s="8"/>
      <c r="S322" s="2"/>
      <c r="T322" s="9"/>
      <c r="U322" s="9"/>
      <c r="V322" s="9"/>
      <c r="W322" s="9"/>
      <c r="X322" s="9"/>
      <c r="Y322" s="9"/>
    </row>
    <row r="323" spans="1:25" ht="15.75">
      <c r="A323" s="8" t="s">
        <v>855</v>
      </c>
      <c r="B323" s="8"/>
      <c r="C323" s="8"/>
      <c r="D323" s="8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8" t="s">
        <v>17</v>
      </c>
      <c r="Q323" s="2"/>
      <c r="T323" s="9"/>
      <c r="U323" s="9"/>
      <c r="V323" s="9"/>
    </row>
    <row r="324" spans="1:25" ht="15.7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 spans="1:25" ht="15.7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 spans="1:25" ht="15.7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 spans="1:25" ht="15.7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 spans="1:25" ht="15.7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 spans="1:25" ht="15.7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 spans="1:25" ht="15.7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 spans="1:25" ht="15.7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 spans="1:25" ht="15.7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 spans="1:25" ht="15.7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 spans="1:25" ht="15.7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 spans="1:25" ht="15.7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 spans="1:25" ht="15.7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 spans="1:26" ht="15.7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 spans="1:26" ht="15.7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 spans="1:26" ht="15.7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 spans="1:26" ht="15.7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 spans="1:26" ht="15.7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 spans="1:26" ht="15.75" customHeight="1"/>
    <row r="343" spans="1:26" ht="15.75" customHeight="1"/>
    <row r="344" spans="1:26" ht="15.75" customHeight="1"/>
    <row r="345" spans="1:26" ht="15.75" customHeight="1"/>
    <row r="346" spans="1:26" ht="15.75" customHeight="1"/>
    <row r="347" spans="1:26" ht="15.75" customHeight="1"/>
    <row r="348" spans="1:26" ht="15.75" customHeight="1"/>
    <row r="349" spans="1:26" ht="15.75" customHeight="1"/>
    <row r="350" spans="1:26" ht="15.75" customHeight="1">
      <c r="A350" s="211" t="s">
        <v>132</v>
      </c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</row>
    <row r="351" spans="1:26" ht="15.75" customHeight="1">
      <c r="A351" s="211" t="s">
        <v>0</v>
      </c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8"/>
      <c r="Z351" s="8"/>
    </row>
    <row r="352" spans="1:26" ht="15.75" customHeight="1">
      <c r="Y352" s="8"/>
      <c r="Z352" s="8"/>
    </row>
    <row r="353" spans="1:26" ht="15.75" customHeight="1">
      <c r="A353" s="21" t="s">
        <v>133</v>
      </c>
      <c r="B353" s="21"/>
      <c r="C353" s="22" t="s">
        <v>1920</v>
      </c>
      <c r="D353" s="23"/>
      <c r="E353" s="23" t="s">
        <v>1623</v>
      </c>
      <c r="F353" s="54"/>
      <c r="G353" s="54"/>
      <c r="H353" s="54"/>
      <c r="I353" s="54"/>
      <c r="J353" s="54"/>
      <c r="K353" s="54"/>
      <c r="L353" s="54" t="s">
        <v>1632</v>
      </c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8"/>
    </row>
    <row r="354" spans="1:26" ht="15.75" customHeight="1">
      <c r="A354" s="205" t="s">
        <v>134</v>
      </c>
      <c r="B354" s="205"/>
      <c r="C354" s="15" t="s">
        <v>21</v>
      </c>
      <c r="D354" s="82"/>
      <c r="E354" s="14" t="s">
        <v>1621</v>
      </c>
      <c r="F354" s="82"/>
      <c r="G354" s="82"/>
      <c r="H354" s="82"/>
      <c r="I354" s="82"/>
      <c r="J354" s="82"/>
      <c r="K354" s="16"/>
      <c r="L354" s="82" t="s">
        <v>1633</v>
      </c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"/>
    </row>
    <row r="355" spans="1:26" ht="15.75" customHeight="1">
      <c r="D355" s="82"/>
      <c r="E355" s="83" t="s">
        <v>1625</v>
      </c>
      <c r="F355" s="82"/>
      <c r="G355" s="82"/>
      <c r="H355" s="82"/>
      <c r="I355" s="82"/>
      <c r="J355" s="82"/>
      <c r="K355" s="82"/>
      <c r="L355" s="82" t="s">
        <v>1633</v>
      </c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"/>
    </row>
    <row r="356" spans="1:26" ht="15.75" customHeight="1">
      <c r="A356" s="212" t="s">
        <v>136</v>
      </c>
      <c r="B356" s="212"/>
      <c r="C356" s="22" t="s">
        <v>2612</v>
      </c>
      <c r="D356" s="54"/>
      <c r="E356" s="23" t="s">
        <v>1627</v>
      </c>
      <c r="F356" s="54"/>
      <c r="G356" s="16"/>
      <c r="H356" s="54"/>
      <c r="I356" s="54"/>
      <c r="J356" s="54"/>
      <c r="K356" s="54" t="s">
        <v>1617</v>
      </c>
      <c r="L356" s="54" t="s">
        <v>1618</v>
      </c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8"/>
    </row>
    <row r="357" spans="1:26" ht="15.75" customHeight="1">
      <c r="A357" s="21"/>
      <c r="B357" s="21"/>
      <c r="C357" s="22"/>
      <c r="D357" s="54"/>
      <c r="E357" s="23"/>
      <c r="F357" s="54"/>
      <c r="G357" s="16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8"/>
    </row>
    <row r="358" spans="1:26" ht="15.75" customHeight="1">
      <c r="A358" s="24"/>
      <c r="B358" s="24"/>
      <c r="C358" s="24"/>
      <c r="D358" s="205" t="s">
        <v>1599</v>
      </c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8"/>
    </row>
    <row r="359" spans="1:26" ht="15.75" customHeight="1">
      <c r="A359" s="206" t="s">
        <v>1</v>
      </c>
      <c r="B359" s="206" t="s">
        <v>2</v>
      </c>
      <c r="C359" s="206" t="s">
        <v>18</v>
      </c>
      <c r="D359" s="206" t="s">
        <v>137</v>
      </c>
      <c r="E359" s="215" t="s">
        <v>3</v>
      </c>
      <c r="F359" s="208" t="s">
        <v>4</v>
      </c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10"/>
      <c r="V359" s="208" t="s">
        <v>5</v>
      </c>
      <c r="W359" s="209"/>
      <c r="X359" s="210"/>
    </row>
    <row r="360" spans="1:26" ht="15.75" customHeight="1">
      <c r="A360" s="207"/>
      <c r="B360" s="207"/>
      <c r="C360" s="207"/>
      <c r="D360" s="207"/>
      <c r="E360" s="215"/>
      <c r="F360" s="91">
        <v>1</v>
      </c>
      <c r="G360" s="91">
        <v>2</v>
      </c>
      <c r="H360" s="91">
        <v>3</v>
      </c>
      <c r="I360" s="91">
        <v>4</v>
      </c>
      <c r="J360" s="91">
        <v>5</v>
      </c>
      <c r="K360" s="91">
        <v>6</v>
      </c>
      <c r="L360" s="91">
        <v>7</v>
      </c>
      <c r="M360" s="91">
        <v>8</v>
      </c>
      <c r="N360" s="91">
        <v>9</v>
      </c>
      <c r="O360" s="91">
        <v>10</v>
      </c>
      <c r="P360" s="91">
        <v>11</v>
      </c>
      <c r="Q360" s="91">
        <v>12</v>
      </c>
      <c r="R360" s="91">
        <v>13</v>
      </c>
      <c r="S360" s="91">
        <v>14</v>
      </c>
      <c r="T360" s="91">
        <v>15</v>
      </c>
      <c r="U360" s="91">
        <v>16</v>
      </c>
      <c r="V360" s="91" t="s">
        <v>6</v>
      </c>
      <c r="W360" s="91" t="s">
        <v>7</v>
      </c>
      <c r="X360" s="91" t="s">
        <v>8</v>
      </c>
      <c r="Y360" s="9"/>
      <c r="Z360" s="9"/>
    </row>
    <row r="361" spans="1:26" ht="15.75" customHeight="1">
      <c r="A361" s="48"/>
      <c r="B361" s="48"/>
      <c r="C361" s="48"/>
      <c r="D361" s="48"/>
      <c r="E361" s="49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"/>
      <c r="Z361" s="9"/>
    </row>
    <row r="362" spans="1:26" ht="15.75" customHeight="1">
      <c r="A362" s="92">
        <v>1</v>
      </c>
      <c r="B362" s="93"/>
      <c r="C362" s="93" t="s">
        <v>1921</v>
      </c>
      <c r="D362" s="81" t="s">
        <v>1922</v>
      </c>
      <c r="E362" s="87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"/>
      <c r="Z362" s="9"/>
    </row>
    <row r="363" spans="1:26" ht="15.75" customHeight="1">
      <c r="A363" s="92">
        <v>2</v>
      </c>
      <c r="B363" s="93"/>
      <c r="C363" s="93" t="s">
        <v>1923</v>
      </c>
      <c r="D363" s="81" t="s">
        <v>1924</v>
      </c>
      <c r="E363" s="87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"/>
      <c r="Z363" s="9"/>
    </row>
    <row r="364" spans="1:26" ht="15.75" customHeight="1">
      <c r="A364" s="92">
        <v>3</v>
      </c>
      <c r="B364" s="93"/>
      <c r="C364" s="93" t="s">
        <v>1925</v>
      </c>
      <c r="D364" s="81" t="s">
        <v>1926</v>
      </c>
      <c r="E364" s="87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"/>
      <c r="Z364" s="9"/>
    </row>
    <row r="365" spans="1:26" ht="15.75" customHeight="1">
      <c r="A365" s="92">
        <v>4</v>
      </c>
      <c r="B365" s="93"/>
      <c r="C365" s="93" t="s">
        <v>1927</v>
      </c>
      <c r="D365" s="81" t="s">
        <v>1928</v>
      </c>
      <c r="E365" s="87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"/>
      <c r="Z365" s="9"/>
    </row>
    <row r="366" spans="1:26" ht="15.75" customHeight="1">
      <c r="A366" s="92">
        <v>5</v>
      </c>
      <c r="B366" s="93"/>
      <c r="C366" s="93" t="s">
        <v>1929</v>
      </c>
      <c r="D366" s="81" t="s">
        <v>1930</v>
      </c>
      <c r="E366" s="87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"/>
      <c r="Z366" s="9"/>
    </row>
    <row r="367" spans="1:26" ht="15.75" customHeight="1">
      <c r="A367" s="92">
        <v>6</v>
      </c>
      <c r="B367" s="93"/>
      <c r="C367" s="93" t="s">
        <v>1931</v>
      </c>
      <c r="D367" s="81" t="s">
        <v>1932</v>
      </c>
      <c r="E367" s="87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"/>
      <c r="Z367" s="9"/>
    </row>
    <row r="368" spans="1:26" ht="15.75" customHeight="1">
      <c r="A368" s="92">
        <v>7</v>
      </c>
      <c r="B368" s="93"/>
      <c r="C368" s="93" t="s">
        <v>1933</v>
      </c>
      <c r="D368" s="81" t="s">
        <v>1934</v>
      </c>
      <c r="E368" s="87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"/>
      <c r="Z368" s="9"/>
    </row>
    <row r="369" spans="1:26" ht="15.75" customHeight="1">
      <c r="A369" s="92">
        <v>8</v>
      </c>
      <c r="B369" s="93"/>
      <c r="C369" s="93" t="s">
        <v>1935</v>
      </c>
      <c r="D369" s="81" t="s">
        <v>1936</v>
      </c>
      <c r="E369" s="87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"/>
      <c r="Z369" s="9"/>
    </row>
    <row r="370" spans="1:26" ht="15.75" customHeight="1">
      <c r="A370" s="92">
        <v>9</v>
      </c>
      <c r="B370" s="93"/>
      <c r="C370" s="93" t="s">
        <v>1937</v>
      </c>
      <c r="D370" s="81" t="s">
        <v>1938</v>
      </c>
      <c r="E370" s="87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"/>
      <c r="Z370" s="9"/>
    </row>
    <row r="371" spans="1:26" ht="15.75" customHeight="1">
      <c r="A371" s="92">
        <v>10</v>
      </c>
      <c r="B371" s="93"/>
      <c r="C371" s="93" t="s">
        <v>1939</v>
      </c>
      <c r="D371" s="81" t="s">
        <v>1940</v>
      </c>
      <c r="E371" s="87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"/>
      <c r="Z371" s="9"/>
    </row>
    <row r="372" spans="1:26" ht="15.75" customHeight="1">
      <c r="A372" s="92">
        <v>11</v>
      </c>
      <c r="B372" s="93"/>
      <c r="C372" s="93" t="s">
        <v>1941</v>
      </c>
      <c r="D372" s="81" t="s">
        <v>1942</v>
      </c>
      <c r="E372" s="87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"/>
      <c r="Z372" s="9"/>
    </row>
    <row r="373" spans="1:26" ht="15.75" customHeight="1">
      <c r="A373" s="92">
        <v>12</v>
      </c>
      <c r="B373" s="93"/>
      <c r="C373" s="93" t="s">
        <v>1943</v>
      </c>
      <c r="D373" s="81" t="s">
        <v>1944</v>
      </c>
      <c r="E373" s="87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"/>
      <c r="Z373" s="9"/>
    </row>
    <row r="374" spans="1:26" ht="15.75" customHeight="1">
      <c r="A374" s="92">
        <v>13</v>
      </c>
      <c r="B374" s="93"/>
      <c r="C374" s="93" t="s">
        <v>1945</v>
      </c>
      <c r="D374" s="81" t="s">
        <v>1946</v>
      </c>
      <c r="E374" s="87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"/>
      <c r="Z374" s="9"/>
    </row>
    <row r="375" spans="1:26" ht="15.75" customHeight="1">
      <c r="A375" s="92">
        <v>14</v>
      </c>
      <c r="B375" s="93"/>
      <c r="C375" s="93" t="s">
        <v>1947</v>
      </c>
      <c r="D375" s="81" t="s">
        <v>1948</v>
      </c>
      <c r="E375" s="87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"/>
      <c r="Z375" s="9"/>
    </row>
    <row r="376" spans="1:26" ht="15.75" customHeight="1">
      <c r="A376" s="92">
        <v>15</v>
      </c>
      <c r="B376" s="93"/>
      <c r="C376" s="93" t="s">
        <v>1949</v>
      </c>
      <c r="D376" s="81" t="s">
        <v>1950</v>
      </c>
      <c r="E376" s="87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"/>
      <c r="Z376" s="9"/>
    </row>
    <row r="377" spans="1:26" ht="15.75" customHeight="1">
      <c r="A377" s="92">
        <v>16</v>
      </c>
      <c r="B377" s="93"/>
      <c r="C377" s="93" t="s">
        <v>1951</v>
      </c>
      <c r="D377" s="81" t="s">
        <v>1952</v>
      </c>
      <c r="E377" s="87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"/>
      <c r="Z377" s="9"/>
    </row>
    <row r="378" spans="1:26" ht="15.75" customHeight="1">
      <c r="A378" s="92">
        <v>17</v>
      </c>
      <c r="B378" s="93"/>
      <c r="C378" s="93" t="s">
        <v>1953</v>
      </c>
      <c r="D378" s="81" t="s">
        <v>1954</v>
      </c>
      <c r="E378" s="87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"/>
      <c r="Z378" s="9"/>
    </row>
    <row r="379" spans="1:26" ht="15.75" customHeight="1">
      <c r="A379" s="92">
        <v>18</v>
      </c>
      <c r="B379" s="93"/>
      <c r="C379" s="93" t="s">
        <v>1955</v>
      </c>
      <c r="D379" s="81" t="s">
        <v>1956</v>
      </c>
      <c r="E379" s="87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"/>
      <c r="Z379" s="9"/>
    </row>
    <row r="380" spans="1:26" ht="15.75" customHeight="1">
      <c r="A380" s="92">
        <v>19</v>
      </c>
      <c r="B380" s="93"/>
      <c r="C380" s="93" t="s">
        <v>1957</v>
      </c>
      <c r="D380" s="81" t="s">
        <v>1958</v>
      </c>
      <c r="E380" s="87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"/>
      <c r="Z380" s="9"/>
    </row>
    <row r="381" spans="1:26" ht="15.75" customHeight="1">
      <c r="A381" s="92">
        <v>20</v>
      </c>
      <c r="B381" s="93"/>
      <c r="C381" s="93" t="s">
        <v>1959</v>
      </c>
      <c r="D381" s="81" t="s">
        <v>1960</v>
      </c>
      <c r="E381" s="87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"/>
      <c r="Z381" s="9"/>
    </row>
    <row r="382" spans="1:26" ht="15.75" customHeight="1">
      <c r="A382" s="92">
        <v>21</v>
      </c>
      <c r="B382" s="93"/>
      <c r="C382" s="93" t="s">
        <v>1961</v>
      </c>
      <c r="D382" s="81" t="s">
        <v>1962</v>
      </c>
      <c r="E382" s="87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"/>
      <c r="Z382" s="9"/>
    </row>
    <row r="383" spans="1:26" ht="15.75" customHeight="1">
      <c r="A383" s="92">
        <v>22</v>
      </c>
      <c r="B383" s="93"/>
      <c r="C383" s="93" t="s">
        <v>1963</v>
      </c>
      <c r="D383" s="81" t="s">
        <v>1964</v>
      </c>
      <c r="E383" s="87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"/>
      <c r="Z383" s="9"/>
    </row>
    <row r="384" spans="1:26" ht="15.75" customHeight="1">
      <c r="A384" s="92">
        <v>23</v>
      </c>
      <c r="B384" s="93"/>
      <c r="C384" s="93" t="s">
        <v>1965</v>
      </c>
      <c r="D384" s="81" t="s">
        <v>1966</v>
      </c>
      <c r="E384" s="87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"/>
      <c r="Z384" s="9"/>
    </row>
    <row r="385" spans="1:26" ht="15.75" customHeight="1">
      <c r="A385" s="92">
        <v>24</v>
      </c>
      <c r="B385" s="93"/>
      <c r="C385" s="93" t="s">
        <v>1967</v>
      </c>
      <c r="D385" s="81" t="s">
        <v>1968</v>
      </c>
      <c r="E385" s="87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"/>
      <c r="Z385" s="9"/>
    </row>
    <row r="386" spans="1:26" ht="15.75" customHeight="1">
      <c r="A386" s="92">
        <v>25</v>
      </c>
      <c r="B386" s="93"/>
      <c r="C386" s="93" t="s">
        <v>1969</v>
      </c>
      <c r="D386" s="81" t="s">
        <v>1970</v>
      </c>
      <c r="E386" s="87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"/>
      <c r="Z386" s="9"/>
    </row>
    <row r="387" spans="1:26" ht="15.75" customHeight="1">
      <c r="A387" s="92">
        <v>26</v>
      </c>
      <c r="B387" s="93"/>
      <c r="C387" s="93" t="s">
        <v>1971</v>
      </c>
      <c r="D387" s="81" t="s">
        <v>1972</v>
      </c>
      <c r="E387" s="87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"/>
      <c r="Z387" s="9"/>
    </row>
    <row r="388" spans="1:26" ht="15.75" customHeight="1">
      <c r="A388" s="92">
        <v>27</v>
      </c>
      <c r="B388" s="93"/>
      <c r="C388" s="93" t="s">
        <v>1973</v>
      </c>
      <c r="D388" s="81" t="s">
        <v>1974</v>
      </c>
      <c r="E388" s="87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"/>
      <c r="Z388" s="9"/>
    </row>
    <row r="389" spans="1:26" ht="15.75" customHeight="1">
      <c r="A389" s="92">
        <v>28</v>
      </c>
      <c r="B389" s="93"/>
      <c r="C389" s="93" t="s">
        <v>1975</v>
      </c>
      <c r="D389" s="81" t="s">
        <v>1976</v>
      </c>
      <c r="E389" s="87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"/>
      <c r="Z389" s="9"/>
    </row>
    <row r="390" spans="1:26" ht="15.75" customHeight="1">
      <c r="A390" s="92">
        <v>29</v>
      </c>
      <c r="B390" s="93"/>
      <c r="C390" s="93" t="s">
        <v>1977</v>
      </c>
      <c r="D390" s="81" t="s">
        <v>1978</v>
      </c>
      <c r="E390" s="87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"/>
      <c r="Z390" s="9"/>
    </row>
    <row r="391" spans="1:26" ht="15.75" customHeight="1">
      <c r="A391" s="92">
        <v>30</v>
      </c>
      <c r="B391" s="93"/>
      <c r="C391" s="93" t="s">
        <v>1979</v>
      </c>
      <c r="D391" s="81" t="s">
        <v>1980</v>
      </c>
      <c r="E391" s="87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"/>
      <c r="Z391" s="9"/>
    </row>
    <row r="392" spans="1:26" ht="15.75" customHeight="1">
      <c r="A392" s="92">
        <v>31</v>
      </c>
      <c r="B392" s="93"/>
      <c r="C392" s="93" t="s">
        <v>1981</v>
      </c>
      <c r="D392" s="81" t="s">
        <v>1982</v>
      </c>
      <c r="E392" s="87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</row>
    <row r="393" spans="1:26" ht="15.75" customHeight="1">
      <c r="A393" s="92">
        <v>32</v>
      </c>
      <c r="B393" s="93"/>
      <c r="C393" s="93" t="s">
        <v>1983</v>
      </c>
      <c r="D393" s="81" t="s">
        <v>1984</v>
      </c>
      <c r="E393" s="87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</row>
    <row r="394" spans="1:26" ht="15.75" customHeight="1">
      <c r="A394" s="92">
        <v>33</v>
      </c>
      <c r="B394" s="93"/>
      <c r="C394" s="93" t="s">
        <v>1985</v>
      </c>
      <c r="D394" s="81" t="s">
        <v>1986</v>
      </c>
      <c r="E394" s="87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</row>
    <row r="395" spans="1:26" ht="15.75" customHeight="1">
      <c r="A395" s="92">
        <v>34</v>
      </c>
      <c r="B395" s="93"/>
      <c r="C395" s="93" t="s">
        <v>1987</v>
      </c>
      <c r="D395" s="81" t="s">
        <v>1988</v>
      </c>
      <c r="E395" s="87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</row>
    <row r="396" spans="1:26" ht="15.75" customHeight="1">
      <c r="A396" s="92">
        <v>35</v>
      </c>
      <c r="B396" s="93"/>
      <c r="C396" s="93" t="s">
        <v>1989</v>
      </c>
      <c r="D396" s="81" t="s">
        <v>1990</v>
      </c>
      <c r="E396" s="87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</row>
    <row r="397" spans="1:26" ht="15.75" customHeight="1">
      <c r="A397" s="92">
        <v>36</v>
      </c>
      <c r="B397" s="93"/>
      <c r="C397" s="93"/>
      <c r="D397" s="81"/>
      <c r="E397" s="87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</row>
    <row r="398" spans="1:26" ht="15.75" customHeight="1">
      <c r="A398" s="92">
        <v>37</v>
      </c>
      <c r="B398" s="93"/>
      <c r="C398" s="93"/>
      <c r="D398" s="81"/>
      <c r="E398" s="87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</row>
    <row r="399" spans="1:26" ht="15.75" customHeight="1">
      <c r="A399" s="92">
        <v>38</v>
      </c>
      <c r="B399" s="93"/>
      <c r="C399" s="93"/>
      <c r="D399" s="81"/>
      <c r="E399" s="87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</row>
    <row r="400" spans="1:26" ht="15.75" customHeight="1">
      <c r="A400" s="77"/>
      <c r="B400" s="79"/>
      <c r="C400" s="79"/>
      <c r="D400" s="66"/>
      <c r="E400" s="10"/>
    </row>
    <row r="401" spans="1:25">
      <c r="A401" s="3"/>
      <c r="B401" s="3"/>
      <c r="C401" s="3"/>
      <c r="D401" s="3" t="s">
        <v>864</v>
      </c>
      <c r="E401" s="10">
        <f>SUM(E402:E403)</f>
        <v>0</v>
      </c>
      <c r="G401" s="7"/>
      <c r="H401" s="7"/>
    </row>
    <row r="402" spans="1:25">
      <c r="A402" s="3"/>
      <c r="B402" s="3"/>
      <c r="C402" s="3"/>
      <c r="D402" s="43" t="s">
        <v>10</v>
      </c>
      <c r="E402" s="41">
        <f>COUNTIF(E362:E399,"L")</f>
        <v>0</v>
      </c>
      <c r="G402" s="2"/>
    </row>
    <row r="403" spans="1:25">
      <c r="A403" s="3"/>
      <c r="B403" s="3"/>
      <c r="C403" s="3"/>
      <c r="D403" s="43" t="s">
        <v>11</v>
      </c>
      <c r="E403" s="41">
        <f>COUNTIF(E362:E397,"P")</f>
        <v>0</v>
      </c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1"/>
      <c r="S403" s="2"/>
      <c r="T403" s="2"/>
      <c r="U403" s="2"/>
      <c r="V403" s="2"/>
      <c r="W403" s="2"/>
      <c r="X403" s="3"/>
      <c r="Y403" s="2"/>
    </row>
    <row r="404" spans="1:25">
      <c r="A404" s="1" t="s">
        <v>12</v>
      </c>
      <c r="B404" s="1"/>
      <c r="C404" s="1"/>
      <c r="E404" s="1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1" t="s">
        <v>1605</v>
      </c>
      <c r="Q404" s="2"/>
      <c r="T404" s="2"/>
      <c r="U404" s="2"/>
      <c r="V404" s="2"/>
      <c r="W404" s="2"/>
      <c r="X404" s="3"/>
      <c r="Y404" s="2"/>
    </row>
    <row r="405" spans="1:25">
      <c r="A405" s="1" t="s">
        <v>13</v>
      </c>
      <c r="B405" s="1"/>
      <c r="C405" s="1"/>
      <c r="E405" s="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" t="s">
        <v>14</v>
      </c>
      <c r="Q405" s="3"/>
      <c r="S405" s="2"/>
      <c r="T405" s="2"/>
      <c r="U405" s="2"/>
      <c r="V405" s="2"/>
      <c r="W405" s="2"/>
      <c r="X405" s="3"/>
      <c r="Y405" s="2"/>
    </row>
    <row r="406" spans="1:25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"/>
      <c r="Q406" s="3"/>
      <c r="S406" s="2"/>
      <c r="T406" s="2"/>
      <c r="U406" s="2"/>
      <c r="V406" s="2"/>
      <c r="W406" s="2"/>
      <c r="X406" s="3"/>
      <c r="Y406" s="2"/>
    </row>
    <row r="407" spans="1:25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S407" s="2"/>
      <c r="T407" s="2"/>
      <c r="U407" s="2"/>
      <c r="V407" s="2"/>
      <c r="W407" s="2"/>
      <c r="X407" s="2"/>
      <c r="Y407" s="2"/>
    </row>
    <row r="408" spans="1:25" ht="15.75">
      <c r="A408" s="8" t="s">
        <v>854</v>
      </c>
      <c r="B408" s="8"/>
      <c r="C408" s="8"/>
      <c r="D408" s="8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8" t="s">
        <v>16</v>
      </c>
      <c r="Q408" s="8"/>
      <c r="S408" s="2"/>
      <c r="T408" s="9"/>
      <c r="U408" s="9"/>
      <c r="V408" s="9"/>
      <c r="W408" s="9"/>
      <c r="X408" s="9"/>
      <c r="Y408" s="9"/>
    </row>
    <row r="409" spans="1:25" ht="15.75">
      <c r="A409" s="8" t="s">
        <v>855</v>
      </c>
      <c r="B409" s="8"/>
      <c r="C409" s="8"/>
      <c r="D409" s="8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8" t="s">
        <v>17</v>
      </c>
      <c r="Q409" s="2"/>
      <c r="T409" s="9"/>
      <c r="U409" s="9"/>
      <c r="V409" s="9"/>
    </row>
    <row r="410" spans="1:25" ht="15.7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 spans="1:25" ht="15.7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 spans="1:25" ht="15.7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 spans="1:25" ht="15.7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 spans="1:25" ht="15.7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 spans="1:25" ht="15.7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 spans="1:25" ht="15.7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 spans="1:25" ht="15.7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 spans="1:25" ht="15.7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 spans="1:25" ht="15.7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 spans="1:25" ht="15.7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 spans="1:25" ht="15.7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 spans="1:25" ht="15.7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 spans="1:25" ht="15.7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 spans="1:25" ht="15.7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 spans="1:25" ht="15.75" customHeight="1"/>
    <row r="426" spans="1:25" ht="15.75" customHeight="1"/>
    <row r="427" spans="1:25" ht="15.75" customHeight="1"/>
    <row r="428" spans="1:25" ht="15.75" customHeight="1"/>
    <row r="429" spans="1:25" ht="15.75" customHeight="1"/>
    <row r="430" spans="1:25" ht="15.75" customHeight="1"/>
    <row r="431" spans="1:25" ht="15.75" customHeight="1"/>
    <row r="432" spans="1:25" ht="15.75" customHeight="1"/>
    <row r="433" spans="1:26" ht="15.75" customHeight="1">
      <c r="A433" s="211" t="s">
        <v>132</v>
      </c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</row>
    <row r="434" spans="1:26" ht="15.75" customHeight="1">
      <c r="A434" s="211" t="s">
        <v>0</v>
      </c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8"/>
      <c r="Z434" s="8"/>
    </row>
    <row r="435" spans="1:26" ht="15.75" customHeight="1">
      <c r="Y435" s="8"/>
      <c r="Z435" s="8"/>
    </row>
    <row r="436" spans="1:26" ht="15.75" customHeight="1">
      <c r="A436" s="21" t="s">
        <v>133</v>
      </c>
      <c r="B436" s="21"/>
      <c r="C436" s="22" t="s">
        <v>1991</v>
      </c>
      <c r="D436" s="23"/>
      <c r="E436" s="23" t="s">
        <v>1623</v>
      </c>
      <c r="F436" s="54"/>
      <c r="G436" s="54"/>
      <c r="H436" s="54"/>
      <c r="I436" s="54"/>
      <c r="J436" s="54"/>
      <c r="K436" s="54"/>
      <c r="L436" s="54" t="s">
        <v>1632</v>
      </c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8"/>
    </row>
    <row r="437" spans="1:26" ht="15.75" customHeight="1">
      <c r="A437" s="205" t="s">
        <v>134</v>
      </c>
      <c r="B437" s="205"/>
      <c r="C437" s="15" t="s">
        <v>21</v>
      </c>
      <c r="D437" s="82"/>
      <c r="E437" s="14" t="s">
        <v>1621</v>
      </c>
      <c r="F437" s="82"/>
      <c r="G437" s="82"/>
      <c r="H437" s="82"/>
      <c r="I437" s="82"/>
      <c r="J437" s="82"/>
      <c r="K437" s="16"/>
      <c r="L437" s="82" t="s">
        <v>1633</v>
      </c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"/>
    </row>
    <row r="438" spans="1:26" ht="15.75" customHeight="1">
      <c r="D438" s="82"/>
      <c r="E438" s="83" t="s">
        <v>1625</v>
      </c>
      <c r="F438" s="82"/>
      <c r="G438" s="82"/>
      <c r="H438" s="82"/>
      <c r="I438" s="82"/>
      <c r="J438" s="82"/>
      <c r="K438" s="82"/>
      <c r="L438" s="82" t="s">
        <v>1633</v>
      </c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"/>
    </row>
    <row r="439" spans="1:26" ht="15.75" customHeight="1">
      <c r="A439" s="212" t="s">
        <v>136</v>
      </c>
      <c r="B439" s="212"/>
      <c r="C439" s="22" t="s">
        <v>2613</v>
      </c>
      <c r="D439" s="54"/>
      <c r="E439" s="23" t="s">
        <v>1627</v>
      </c>
      <c r="F439" s="54"/>
      <c r="G439" s="16"/>
      <c r="H439" s="54"/>
      <c r="I439" s="54"/>
      <c r="J439" s="54"/>
      <c r="K439" s="54" t="s">
        <v>1617</v>
      </c>
      <c r="L439" s="54" t="s">
        <v>1618</v>
      </c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8"/>
    </row>
    <row r="440" spans="1:26" ht="15.75" customHeight="1">
      <c r="A440" s="21"/>
      <c r="B440" s="21"/>
      <c r="C440" s="22"/>
      <c r="D440" s="54"/>
      <c r="E440" s="23"/>
      <c r="F440" s="54"/>
      <c r="G440" s="16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8"/>
    </row>
    <row r="441" spans="1:26" ht="15.75" customHeight="1">
      <c r="A441" s="24"/>
      <c r="B441" s="24"/>
      <c r="C441" s="24"/>
      <c r="D441" s="205" t="s">
        <v>1599</v>
      </c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8"/>
    </row>
    <row r="442" spans="1:26" ht="15.75" customHeight="1">
      <c r="A442" s="206" t="s">
        <v>1</v>
      </c>
      <c r="B442" s="206" t="s">
        <v>2</v>
      </c>
      <c r="C442" s="206" t="s">
        <v>18</v>
      </c>
      <c r="D442" s="206" t="s">
        <v>137</v>
      </c>
      <c r="E442" s="213" t="s">
        <v>3</v>
      </c>
      <c r="F442" s="208" t="s">
        <v>4</v>
      </c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10"/>
      <c r="V442" s="208" t="s">
        <v>5</v>
      </c>
      <c r="W442" s="209"/>
      <c r="X442" s="210"/>
    </row>
    <row r="443" spans="1:26" ht="15.75" customHeight="1">
      <c r="A443" s="207"/>
      <c r="B443" s="207"/>
      <c r="C443" s="207"/>
      <c r="D443" s="207"/>
      <c r="E443" s="214"/>
      <c r="F443" s="91">
        <v>1</v>
      </c>
      <c r="G443" s="91">
        <v>2</v>
      </c>
      <c r="H443" s="91">
        <v>3</v>
      </c>
      <c r="I443" s="91">
        <v>4</v>
      </c>
      <c r="J443" s="91">
        <v>5</v>
      </c>
      <c r="K443" s="91">
        <v>6</v>
      </c>
      <c r="L443" s="91">
        <v>7</v>
      </c>
      <c r="M443" s="91">
        <v>8</v>
      </c>
      <c r="N443" s="91">
        <v>9</v>
      </c>
      <c r="O443" s="91">
        <v>10</v>
      </c>
      <c r="P443" s="91">
        <v>11</v>
      </c>
      <c r="Q443" s="91">
        <v>12</v>
      </c>
      <c r="R443" s="91">
        <v>13</v>
      </c>
      <c r="S443" s="91">
        <v>14</v>
      </c>
      <c r="T443" s="91">
        <v>15</v>
      </c>
      <c r="U443" s="91">
        <v>16</v>
      </c>
      <c r="V443" s="91" t="s">
        <v>6</v>
      </c>
      <c r="W443" s="91" t="s">
        <v>7</v>
      </c>
      <c r="X443" s="91" t="s">
        <v>8</v>
      </c>
      <c r="Y443" s="9"/>
      <c r="Z443" s="9"/>
    </row>
    <row r="444" spans="1:26" ht="15.75" customHeight="1">
      <c r="A444" s="48"/>
      <c r="B444" s="48"/>
      <c r="C444" s="48"/>
      <c r="D444" s="48"/>
      <c r="E444" s="49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"/>
      <c r="Z444" s="9"/>
    </row>
    <row r="445" spans="1:26" ht="15.75" customHeight="1">
      <c r="A445" s="92">
        <v>1</v>
      </c>
      <c r="B445" s="93"/>
      <c r="C445" s="93" t="s">
        <v>1992</v>
      </c>
      <c r="D445" s="81" t="s">
        <v>1993</v>
      </c>
      <c r="E445" s="87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"/>
      <c r="Z445" s="9"/>
    </row>
    <row r="446" spans="1:26" ht="15.75" customHeight="1">
      <c r="A446" s="92">
        <v>2</v>
      </c>
      <c r="B446" s="93"/>
      <c r="C446" s="93" t="s">
        <v>1994</v>
      </c>
      <c r="D446" s="81" t="s">
        <v>1995</v>
      </c>
      <c r="E446" s="87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"/>
      <c r="Z446" s="9"/>
    </row>
    <row r="447" spans="1:26" ht="15.75" customHeight="1">
      <c r="A447" s="92">
        <v>3</v>
      </c>
      <c r="B447" s="93"/>
      <c r="C447" s="93" t="s">
        <v>1996</v>
      </c>
      <c r="D447" s="81" t="s">
        <v>1997</v>
      </c>
      <c r="E447" s="87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"/>
      <c r="Z447" s="9"/>
    </row>
    <row r="448" spans="1:26" ht="15.75" customHeight="1">
      <c r="A448" s="92">
        <v>4</v>
      </c>
      <c r="B448" s="93"/>
      <c r="C448" s="93" t="s">
        <v>1998</v>
      </c>
      <c r="D448" s="81" t="s">
        <v>1999</v>
      </c>
      <c r="E448" s="87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"/>
      <c r="Z448" s="9"/>
    </row>
    <row r="449" spans="1:26" ht="15.75" customHeight="1">
      <c r="A449" s="92">
        <v>5</v>
      </c>
      <c r="B449" s="93"/>
      <c r="C449" s="93" t="s">
        <v>2000</v>
      </c>
      <c r="D449" s="81" t="s">
        <v>2001</v>
      </c>
      <c r="E449" s="87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"/>
      <c r="Z449" s="9"/>
    </row>
    <row r="450" spans="1:26" ht="15.75" customHeight="1">
      <c r="A450" s="92">
        <v>6</v>
      </c>
      <c r="B450" s="93"/>
      <c r="C450" s="93" t="s">
        <v>2002</v>
      </c>
      <c r="D450" s="81" t="s">
        <v>2003</v>
      </c>
      <c r="E450" s="87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"/>
      <c r="Z450" s="9"/>
    </row>
    <row r="451" spans="1:26" ht="15.75" customHeight="1">
      <c r="A451" s="92">
        <v>7</v>
      </c>
      <c r="B451" s="93"/>
      <c r="C451" s="93" t="s">
        <v>2004</v>
      </c>
      <c r="D451" s="81" t="s">
        <v>2005</v>
      </c>
      <c r="E451" s="87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"/>
      <c r="Z451" s="9"/>
    </row>
    <row r="452" spans="1:26" ht="15.75" customHeight="1">
      <c r="A452" s="92">
        <v>8</v>
      </c>
      <c r="B452" s="93"/>
      <c r="C452" s="93" t="s">
        <v>2006</v>
      </c>
      <c r="D452" s="81" t="s">
        <v>2007</v>
      </c>
      <c r="E452" s="87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"/>
      <c r="Z452" s="9"/>
    </row>
    <row r="453" spans="1:26" ht="15.75" customHeight="1">
      <c r="A453" s="92">
        <v>9</v>
      </c>
      <c r="B453" s="93"/>
      <c r="C453" s="93" t="s">
        <v>2008</v>
      </c>
      <c r="D453" s="81" t="s">
        <v>2009</v>
      </c>
      <c r="E453" s="87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"/>
      <c r="Z453" s="9"/>
    </row>
    <row r="454" spans="1:26" ht="15.75" customHeight="1">
      <c r="A454" s="92">
        <v>10</v>
      </c>
      <c r="B454" s="93"/>
      <c r="C454" s="93" t="s">
        <v>2010</v>
      </c>
      <c r="D454" s="81" t="s">
        <v>2011</v>
      </c>
      <c r="E454" s="87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"/>
      <c r="Z454" s="9"/>
    </row>
    <row r="455" spans="1:26" ht="15.75" customHeight="1">
      <c r="A455" s="92">
        <v>11</v>
      </c>
      <c r="B455" s="93"/>
      <c r="C455" s="93" t="s">
        <v>2012</v>
      </c>
      <c r="D455" s="81" t="s">
        <v>2013</v>
      </c>
      <c r="E455" s="87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"/>
      <c r="Z455" s="9"/>
    </row>
    <row r="456" spans="1:26" ht="15.75" customHeight="1">
      <c r="A456" s="92">
        <v>12</v>
      </c>
      <c r="B456" s="93"/>
      <c r="C456" s="93" t="s">
        <v>2014</v>
      </c>
      <c r="D456" s="81" t="s">
        <v>2015</v>
      </c>
      <c r="E456" s="87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"/>
      <c r="Z456" s="9"/>
    </row>
    <row r="457" spans="1:26" ht="15.75" customHeight="1">
      <c r="A457" s="92">
        <v>13</v>
      </c>
      <c r="B457" s="93"/>
      <c r="C457" s="93" t="s">
        <v>2016</v>
      </c>
      <c r="D457" s="81" t="s">
        <v>2017</v>
      </c>
      <c r="E457" s="87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"/>
      <c r="Z457" s="9"/>
    </row>
    <row r="458" spans="1:26" ht="15.75" customHeight="1">
      <c r="A458" s="92">
        <v>14</v>
      </c>
      <c r="B458" s="93"/>
      <c r="C458" s="93" t="s">
        <v>2018</v>
      </c>
      <c r="D458" s="81" t="s">
        <v>2019</v>
      </c>
      <c r="E458" s="87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"/>
      <c r="Z458" s="9"/>
    </row>
    <row r="459" spans="1:26" ht="15.75" customHeight="1">
      <c r="A459" s="92">
        <v>15</v>
      </c>
      <c r="B459" s="93"/>
      <c r="C459" s="93" t="s">
        <v>2020</v>
      </c>
      <c r="D459" s="81" t="s">
        <v>2021</v>
      </c>
      <c r="E459" s="87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"/>
      <c r="Z459" s="9"/>
    </row>
    <row r="460" spans="1:26" ht="15.75" customHeight="1">
      <c r="A460" s="92">
        <v>16</v>
      </c>
      <c r="B460" s="93"/>
      <c r="C460" s="93" t="s">
        <v>2022</v>
      </c>
      <c r="D460" s="81" t="s">
        <v>2023</v>
      </c>
      <c r="E460" s="87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"/>
      <c r="Z460" s="9"/>
    </row>
    <row r="461" spans="1:26" ht="15.75" customHeight="1">
      <c r="A461" s="92">
        <v>17</v>
      </c>
      <c r="B461" s="93"/>
      <c r="C461" s="93" t="s">
        <v>2024</v>
      </c>
      <c r="D461" s="81" t="s">
        <v>2025</v>
      </c>
      <c r="E461" s="87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"/>
      <c r="Z461" s="9"/>
    </row>
    <row r="462" spans="1:26" ht="15.75" customHeight="1">
      <c r="A462" s="92">
        <v>18</v>
      </c>
      <c r="B462" s="93"/>
      <c r="C462" s="93" t="s">
        <v>2026</v>
      </c>
      <c r="D462" s="81" t="s">
        <v>2027</v>
      </c>
      <c r="E462" s="87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"/>
      <c r="Z462" s="9"/>
    </row>
    <row r="463" spans="1:26" ht="15.75" customHeight="1">
      <c r="A463" s="92">
        <v>19</v>
      </c>
      <c r="B463" s="93"/>
      <c r="C463" s="93" t="s">
        <v>2028</v>
      </c>
      <c r="D463" s="81" t="s">
        <v>2029</v>
      </c>
      <c r="E463" s="87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"/>
      <c r="Z463" s="9"/>
    </row>
    <row r="464" spans="1:26" ht="15.75" customHeight="1">
      <c r="A464" s="92">
        <v>20</v>
      </c>
      <c r="B464" s="93"/>
      <c r="C464" s="93" t="s">
        <v>2030</v>
      </c>
      <c r="D464" s="81" t="s">
        <v>2031</v>
      </c>
      <c r="E464" s="87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"/>
      <c r="Z464" s="9"/>
    </row>
    <row r="465" spans="1:26" ht="15.75" customHeight="1">
      <c r="A465" s="92">
        <v>21</v>
      </c>
      <c r="B465" s="93"/>
      <c r="C465" s="93" t="s">
        <v>2032</v>
      </c>
      <c r="D465" s="81" t="s">
        <v>2033</v>
      </c>
      <c r="E465" s="87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"/>
      <c r="Z465" s="9"/>
    </row>
    <row r="466" spans="1:26" ht="15.75" customHeight="1">
      <c r="A466" s="92">
        <v>22</v>
      </c>
      <c r="B466" s="93"/>
      <c r="C466" s="93" t="s">
        <v>2034</v>
      </c>
      <c r="D466" s="81" t="s">
        <v>2035</v>
      </c>
      <c r="E466" s="87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"/>
      <c r="Z466" s="9"/>
    </row>
    <row r="467" spans="1:26" ht="15.75" customHeight="1">
      <c r="A467" s="92">
        <v>23</v>
      </c>
      <c r="B467" s="93"/>
      <c r="C467" s="93" t="s">
        <v>2036</v>
      </c>
      <c r="D467" s="81" t="s">
        <v>2037</v>
      </c>
      <c r="E467" s="87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"/>
      <c r="Z467" s="9"/>
    </row>
    <row r="468" spans="1:26" ht="15.75" customHeight="1">
      <c r="A468" s="92">
        <v>24</v>
      </c>
      <c r="B468" s="93"/>
      <c r="C468" s="93" t="s">
        <v>2038</v>
      </c>
      <c r="D468" s="81" t="s">
        <v>2039</v>
      </c>
      <c r="E468" s="87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"/>
      <c r="Z468" s="9"/>
    </row>
    <row r="469" spans="1:26" ht="15.75" customHeight="1">
      <c r="A469" s="92">
        <v>25</v>
      </c>
      <c r="B469" s="93"/>
      <c r="C469" s="93" t="s">
        <v>2040</v>
      </c>
      <c r="D469" s="81" t="s">
        <v>2041</v>
      </c>
      <c r="E469" s="87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"/>
      <c r="Z469" s="9"/>
    </row>
    <row r="470" spans="1:26" ht="15.75" customHeight="1">
      <c r="A470" s="92">
        <v>26</v>
      </c>
      <c r="B470" s="93"/>
      <c r="C470" s="93" t="s">
        <v>2042</v>
      </c>
      <c r="D470" s="81" t="s">
        <v>2043</v>
      </c>
      <c r="E470" s="87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"/>
      <c r="Z470" s="9"/>
    </row>
    <row r="471" spans="1:26" ht="15.75" customHeight="1">
      <c r="A471" s="92">
        <v>27</v>
      </c>
      <c r="B471" s="93"/>
      <c r="C471" s="93" t="s">
        <v>2044</v>
      </c>
      <c r="D471" s="81" t="s">
        <v>2045</v>
      </c>
      <c r="E471" s="87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"/>
      <c r="Z471" s="9"/>
    </row>
    <row r="472" spans="1:26" ht="15.75" customHeight="1">
      <c r="A472" s="92">
        <v>28</v>
      </c>
      <c r="B472" s="93"/>
      <c r="C472" s="93" t="s">
        <v>2046</v>
      </c>
      <c r="D472" s="81" t="s">
        <v>2047</v>
      </c>
      <c r="E472" s="87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"/>
      <c r="Z472" s="9"/>
    </row>
    <row r="473" spans="1:26" ht="15.75" customHeight="1">
      <c r="A473" s="92">
        <v>29</v>
      </c>
      <c r="B473" s="93"/>
      <c r="C473" s="93" t="s">
        <v>2048</v>
      </c>
      <c r="D473" s="81" t="s">
        <v>2049</v>
      </c>
      <c r="E473" s="87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"/>
      <c r="Z473" s="9"/>
    </row>
    <row r="474" spans="1:26" ht="15.75" customHeight="1">
      <c r="A474" s="92">
        <v>30</v>
      </c>
      <c r="B474" s="93"/>
      <c r="C474" s="93" t="s">
        <v>2050</v>
      </c>
      <c r="D474" s="81" t="s">
        <v>2051</v>
      </c>
      <c r="E474" s="87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"/>
      <c r="Z474" s="9"/>
    </row>
    <row r="475" spans="1:26" ht="15.75" customHeight="1">
      <c r="A475" s="92">
        <v>31</v>
      </c>
      <c r="B475" s="93"/>
      <c r="C475" s="93" t="s">
        <v>2052</v>
      </c>
      <c r="D475" s="81" t="s">
        <v>2053</v>
      </c>
      <c r="E475" s="87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</row>
    <row r="476" spans="1:26" ht="15.75" customHeight="1">
      <c r="A476" s="92">
        <v>32</v>
      </c>
      <c r="B476" s="93"/>
      <c r="C476" s="93" t="s">
        <v>2054</v>
      </c>
      <c r="D476" s="81" t="s">
        <v>2055</v>
      </c>
      <c r="E476" s="87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</row>
    <row r="477" spans="1:26" ht="15.75" customHeight="1">
      <c r="A477" s="92">
        <v>33</v>
      </c>
      <c r="B477" s="93"/>
      <c r="C477" s="93" t="s">
        <v>2056</v>
      </c>
      <c r="D477" s="81" t="s">
        <v>2057</v>
      </c>
      <c r="E477" s="87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</row>
    <row r="478" spans="1:26" ht="15.75" customHeight="1">
      <c r="A478" s="92">
        <v>34</v>
      </c>
      <c r="B478" s="93"/>
      <c r="C478" s="93" t="s">
        <v>2058</v>
      </c>
      <c r="D478" s="81" t="s">
        <v>2059</v>
      </c>
      <c r="E478" s="87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</row>
    <row r="479" spans="1:26" ht="15.75" customHeight="1">
      <c r="A479" s="92">
        <v>35</v>
      </c>
      <c r="B479" s="93"/>
      <c r="C479" s="93" t="s">
        <v>2060</v>
      </c>
      <c r="D479" s="81" t="s">
        <v>2061</v>
      </c>
      <c r="E479" s="87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</row>
    <row r="480" spans="1:26" ht="15.75" customHeight="1">
      <c r="A480" s="92">
        <v>36</v>
      </c>
      <c r="B480" s="93"/>
      <c r="C480" s="93"/>
      <c r="D480" s="81"/>
      <c r="E480" s="87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</row>
    <row r="481" spans="1:25" ht="15.75" customHeight="1">
      <c r="A481" s="92">
        <v>37</v>
      </c>
      <c r="B481" s="93"/>
      <c r="C481" s="93"/>
      <c r="D481" s="81"/>
      <c r="E481" s="87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</row>
    <row r="482" spans="1:25" ht="15.75" customHeight="1">
      <c r="A482" s="92">
        <v>38</v>
      </c>
      <c r="B482" s="93"/>
      <c r="C482" s="93"/>
      <c r="D482" s="81"/>
      <c r="E482" s="87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</row>
    <row r="483" spans="1:25" ht="15.75" customHeight="1">
      <c r="A483" s="77"/>
      <c r="B483" s="79"/>
      <c r="C483" s="79"/>
      <c r="D483" s="66"/>
      <c r="E483" s="10"/>
    </row>
    <row r="484" spans="1:25">
      <c r="A484" s="3"/>
      <c r="B484" s="3"/>
      <c r="C484" s="3"/>
      <c r="D484" s="3" t="s">
        <v>864</v>
      </c>
      <c r="E484" s="10">
        <f>SUM(E485:E486)</f>
        <v>0</v>
      </c>
      <c r="G484" s="7"/>
      <c r="H484" s="7"/>
    </row>
    <row r="485" spans="1:25">
      <c r="A485" s="3"/>
      <c r="B485" s="3"/>
      <c r="C485" s="3"/>
      <c r="D485" s="43" t="s">
        <v>10</v>
      </c>
      <c r="E485" s="41">
        <f>COUNTIF(E445:E482,"L")</f>
        <v>0</v>
      </c>
      <c r="G485" s="2"/>
    </row>
    <row r="486" spans="1:25">
      <c r="A486" s="3"/>
      <c r="B486" s="3"/>
      <c r="C486" s="3"/>
      <c r="D486" s="43" t="s">
        <v>11</v>
      </c>
      <c r="E486" s="41">
        <f>COUNTIF(E445:E480,"P")</f>
        <v>0</v>
      </c>
      <c r="G486" s="2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1"/>
      <c r="S486" s="2"/>
      <c r="T486" s="2"/>
      <c r="U486" s="2"/>
      <c r="V486" s="2"/>
      <c r="W486" s="2"/>
      <c r="X486" s="3"/>
      <c r="Y486" s="2"/>
    </row>
    <row r="487" spans="1:25">
      <c r="A487" s="1" t="s">
        <v>12</v>
      </c>
      <c r="B487" s="1"/>
      <c r="C487" s="1"/>
      <c r="E487" s="1"/>
      <c r="F487" s="2"/>
      <c r="G487" s="2"/>
      <c r="H487" s="2"/>
      <c r="I487" s="3"/>
      <c r="J487" s="3"/>
      <c r="K487" s="3"/>
      <c r="L487" s="3"/>
      <c r="M487" s="3"/>
      <c r="N487" s="3"/>
      <c r="O487" s="3"/>
      <c r="P487" s="1" t="s">
        <v>1605</v>
      </c>
      <c r="Q487" s="2"/>
      <c r="T487" s="2"/>
      <c r="U487" s="2"/>
      <c r="V487" s="2"/>
      <c r="W487" s="2"/>
      <c r="X487" s="3"/>
      <c r="Y487" s="2"/>
    </row>
    <row r="488" spans="1:25">
      <c r="A488" s="1" t="s">
        <v>13</v>
      </c>
      <c r="B488" s="1"/>
      <c r="C488" s="1"/>
      <c r="E488" s="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" t="s">
        <v>14</v>
      </c>
      <c r="Q488" s="3"/>
      <c r="S488" s="2"/>
      <c r="T488" s="2"/>
      <c r="U488" s="2"/>
      <c r="V488" s="2"/>
      <c r="W488" s="2"/>
      <c r="X488" s="3"/>
      <c r="Y488" s="2"/>
    </row>
    <row r="489" spans="1:25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"/>
      <c r="Q489" s="3"/>
      <c r="S489" s="2"/>
      <c r="T489" s="2"/>
      <c r="U489" s="2"/>
      <c r="V489" s="2"/>
      <c r="W489" s="2"/>
      <c r="X489" s="3"/>
      <c r="Y489" s="2"/>
    </row>
    <row r="490" spans="1:25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S490" s="2"/>
      <c r="T490" s="2"/>
      <c r="U490" s="2"/>
      <c r="V490" s="2"/>
      <c r="W490" s="2"/>
      <c r="X490" s="2"/>
      <c r="Y490" s="2"/>
    </row>
    <row r="491" spans="1:25" ht="15.75">
      <c r="A491" s="8" t="s">
        <v>854</v>
      </c>
      <c r="B491" s="8"/>
      <c r="C491" s="8"/>
      <c r="D491" s="8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8" t="s">
        <v>16</v>
      </c>
      <c r="Q491" s="8"/>
      <c r="S491" s="2"/>
      <c r="T491" s="9"/>
      <c r="U491" s="9"/>
      <c r="V491" s="9"/>
      <c r="W491" s="9"/>
      <c r="X491" s="9"/>
      <c r="Y491" s="9"/>
    </row>
    <row r="492" spans="1:25" ht="15.75">
      <c r="A492" s="8" t="s">
        <v>855</v>
      </c>
      <c r="B492" s="8"/>
      <c r="C492" s="8"/>
      <c r="D492" s="8"/>
      <c r="E492" s="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8" t="s">
        <v>17</v>
      </c>
      <c r="Q492" s="2"/>
      <c r="T492" s="9"/>
      <c r="U492" s="9"/>
      <c r="V492" s="9"/>
    </row>
    <row r="493" spans="1:25" ht="15.7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 spans="1:25" ht="15.7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 spans="1:25" ht="15.7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 spans="1:25" ht="15.7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 spans="1:25" ht="15.7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 spans="1:25" ht="15.7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 spans="1:25" ht="15.7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 spans="1:25" ht="15.7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 spans="1:25" ht="15.7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 spans="1:25" ht="15.7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 spans="1:25" ht="15.7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 spans="1:25" ht="15.7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 spans="1:25" ht="15.7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 spans="1:25" ht="15.7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 spans="1:25" ht="15.7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 spans="1:25" ht="15.7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 spans="1:25" ht="15.7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 spans="1:25" ht="15.7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 spans="1:25" ht="15.7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 spans="1:25" ht="15.75" customHeight="1"/>
    <row r="513" spans="1:26" ht="15.75" customHeight="1"/>
    <row r="514" spans="1:26" ht="15.75" customHeight="1"/>
    <row r="515" spans="1:26" ht="15.75" customHeight="1"/>
    <row r="516" spans="1:26" ht="15.75" customHeight="1"/>
    <row r="517" spans="1:26" ht="15.75" customHeight="1"/>
    <row r="518" spans="1:26" ht="15.75" customHeight="1"/>
    <row r="519" spans="1:26" ht="15.75" customHeight="1"/>
    <row r="520" spans="1:26" ht="15.75" customHeight="1">
      <c r="A520" s="211" t="s">
        <v>132</v>
      </c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</row>
    <row r="521" spans="1:26" ht="15.75" customHeight="1">
      <c r="A521" s="211" t="s">
        <v>0</v>
      </c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8"/>
      <c r="Z521" s="8"/>
    </row>
    <row r="522" spans="1:26" ht="15.75" customHeight="1">
      <c r="Y522" s="8"/>
      <c r="Z522" s="8"/>
    </row>
    <row r="523" spans="1:26" ht="15.75" customHeight="1">
      <c r="A523" s="21" t="s">
        <v>133</v>
      </c>
      <c r="B523" s="21"/>
      <c r="C523" s="22" t="s">
        <v>2062</v>
      </c>
      <c r="D523" s="23"/>
      <c r="E523" s="23" t="s">
        <v>1623</v>
      </c>
      <c r="F523" s="54"/>
      <c r="G523" s="54"/>
      <c r="H523" s="54"/>
      <c r="I523" s="54"/>
      <c r="J523" s="54"/>
      <c r="K523" s="54"/>
      <c r="L523" s="54" t="s">
        <v>1624</v>
      </c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8"/>
    </row>
    <row r="524" spans="1:26" ht="15.75" customHeight="1">
      <c r="A524" s="205" t="s">
        <v>134</v>
      </c>
      <c r="B524" s="205"/>
      <c r="C524" s="15" t="s">
        <v>21</v>
      </c>
      <c r="D524" s="82"/>
      <c r="E524" s="14" t="s">
        <v>1621</v>
      </c>
      <c r="F524" s="82"/>
      <c r="G524" s="82"/>
      <c r="H524" s="82"/>
      <c r="I524" s="82"/>
      <c r="J524" s="82"/>
      <c r="K524" s="16"/>
      <c r="L524" s="82" t="s">
        <v>1622</v>
      </c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"/>
    </row>
    <row r="525" spans="1:26" ht="15.75" customHeight="1">
      <c r="D525" s="82"/>
      <c r="E525" s="83" t="s">
        <v>1625</v>
      </c>
      <c r="F525" s="82"/>
      <c r="G525" s="82"/>
      <c r="H525" s="82"/>
      <c r="I525" s="82"/>
      <c r="J525" s="82"/>
      <c r="K525" s="82"/>
      <c r="L525" s="82" t="s">
        <v>1626</v>
      </c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"/>
    </row>
    <row r="526" spans="1:26" ht="15.75" customHeight="1">
      <c r="A526" s="212" t="s">
        <v>136</v>
      </c>
      <c r="B526" s="212"/>
      <c r="C526" s="22" t="s">
        <v>2614</v>
      </c>
      <c r="D526" s="54"/>
      <c r="E526" s="23" t="s">
        <v>1627</v>
      </c>
      <c r="F526" s="54"/>
      <c r="G526" s="16"/>
      <c r="H526" s="54"/>
      <c r="I526" s="54"/>
      <c r="J526" s="54"/>
      <c r="K526" s="54" t="s">
        <v>1617</v>
      </c>
      <c r="L526" s="54" t="s">
        <v>1618</v>
      </c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8"/>
    </row>
    <row r="527" spans="1:26" ht="15.75" customHeight="1">
      <c r="A527" s="21"/>
      <c r="B527" s="21"/>
      <c r="C527" s="22"/>
      <c r="D527" s="54"/>
      <c r="E527" s="23"/>
      <c r="F527" s="54"/>
      <c r="G527" s="16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8"/>
    </row>
    <row r="528" spans="1:26" ht="15.75" customHeight="1">
      <c r="A528" s="24"/>
      <c r="B528" s="24"/>
      <c r="C528" s="24"/>
      <c r="D528" s="205" t="s">
        <v>1599</v>
      </c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8"/>
    </row>
    <row r="529" spans="1:26" ht="15.75" customHeight="1">
      <c r="A529" s="206" t="s">
        <v>1</v>
      </c>
      <c r="B529" s="206" t="s">
        <v>2</v>
      </c>
      <c r="C529" s="206" t="s">
        <v>18</v>
      </c>
      <c r="D529" s="206" t="s">
        <v>137</v>
      </c>
      <c r="E529" s="213" t="s">
        <v>3</v>
      </c>
      <c r="F529" s="208" t="s">
        <v>4</v>
      </c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10"/>
      <c r="V529" s="208" t="s">
        <v>5</v>
      </c>
      <c r="W529" s="209"/>
      <c r="X529" s="210"/>
    </row>
    <row r="530" spans="1:26" ht="15.75" customHeight="1">
      <c r="A530" s="207"/>
      <c r="B530" s="207"/>
      <c r="C530" s="207"/>
      <c r="D530" s="207"/>
      <c r="E530" s="214"/>
      <c r="F530" s="91">
        <v>1</v>
      </c>
      <c r="G530" s="91">
        <v>2</v>
      </c>
      <c r="H530" s="91">
        <v>3</v>
      </c>
      <c r="I530" s="91">
        <v>4</v>
      </c>
      <c r="J530" s="91">
        <v>5</v>
      </c>
      <c r="K530" s="91">
        <v>6</v>
      </c>
      <c r="L530" s="91">
        <v>7</v>
      </c>
      <c r="M530" s="91">
        <v>8</v>
      </c>
      <c r="N530" s="91">
        <v>9</v>
      </c>
      <c r="O530" s="91">
        <v>10</v>
      </c>
      <c r="P530" s="91">
        <v>11</v>
      </c>
      <c r="Q530" s="91">
        <v>12</v>
      </c>
      <c r="R530" s="91">
        <v>13</v>
      </c>
      <c r="S530" s="91">
        <v>14</v>
      </c>
      <c r="T530" s="91">
        <v>15</v>
      </c>
      <c r="U530" s="91">
        <v>16</v>
      </c>
      <c r="V530" s="91" t="s">
        <v>6</v>
      </c>
      <c r="W530" s="91" t="s">
        <v>7</v>
      </c>
      <c r="X530" s="91" t="s">
        <v>8</v>
      </c>
      <c r="Y530" s="9"/>
      <c r="Z530" s="9"/>
    </row>
    <row r="531" spans="1:26" ht="15.75" customHeight="1">
      <c r="A531" s="48"/>
      <c r="B531" s="48"/>
      <c r="C531" s="48"/>
      <c r="D531" s="48"/>
      <c r="E531" s="49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"/>
      <c r="Z531" s="9"/>
    </row>
    <row r="532" spans="1:26" ht="15.75" customHeight="1">
      <c r="A532" s="92">
        <v>1</v>
      </c>
      <c r="B532" s="93"/>
      <c r="C532" s="93" t="s">
        <v>2063</v>
      </c>
      <c r="D532" s="81" t="s">
        <v>2064</v>
      </c>
      <c r="E532" s="87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"/>
      <c r="Z532" s="9"/>
    </row>
    <row r="533" spans="1:26" ht="15.75" customHeight="1">
      <c r="A533" s="92">
        <v>2</v>
      </c>
      <c r="B533" s="93"/>
      <c r="C533" s="93" t="s">
        <v>2065</v>
      </c>
      <c r="D533" s="81" t="s">
        <v>2066</v>
      </c>
      <c r="E533" s="87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"/>
      <c r="Z533" s="9"/>
    </row>
    <row r="534" spans="1:26" ht="15.75" customHeight="1">
      <c r="A534" s="92">
        <v>3</v>
      </c>
      <c r="B534" s="93"/>
      <c r="C534" s="93" t="s">
        <v>2067</v>
      </c>
      <c r="D534" s="81" t="s">
        <v>2068</v>
      </c>
      <c r="E534" s="87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"/>
      <c r="Z534" s="9"/>
    </row>
    <row r="535" spans="1:26" ht="15.75" customHeight="1">
      <c r="A535" s="92">
        <v>4</v>
      </c>
      <c r="B535" s="93"/>
      <c r="C535" s="93" t="s">
        <v>2069</v>
      </c>
      <c r="D535" s="81" t="s">
        <v>2070</v>
      </c>
      <c r="E535" s="87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"/>
      <c r="Z535" s="9"/>
    </row>
    <row r="536" spans="1:26" ht="15.75" customHeight="1">
      <c r="A536" s="92">
        <v>5</v>
      </c>
      <c r="B536" s="93"/>
      <c r="C536" s="93" t="s">
        <v>2071</v>
      </c>
      <c r="D536" s="81" t="s">
        <v>2072</v>
      </c>
      <c r="E536" s="87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"/>
      <c r="Z536" s="9"/>
    </row>
    <row r="537" spans="1:26" ht="15.75" customHeight="1">
      <c r="A537" s="92">
        <v>6</v>
      </c>
      <c r="B537" s="93"/>
      <c r="C537" s="93" t="s">
        <v>2073</v>
      </c>
      <c r="D537" s="81" t="s">
        <v>2074</v>
      </c>
      <c r="E537" s="87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"/>
      <c r="Z537" s="9"/>
    </row>
    <row r="538" spans="1:26" ht="15.75" customHeight="1">
      <c r="A538" s="92">
        <v>7</v>
      </c>
      <c r="B538" s="93"/>
      <c r="C538" s="93" t="s">
        <v>2075</v>
      </c>
      <c r="D538" s="81" t="s">
        <v>2076</v>
      </c>
      <c r="E538" s="87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"/>
      <c r="Z538" s="9"/>
    </row>
    <row r="539" spans="1:26" ht="15.75" customHeight="1">
      <c r="A539" s="92">
        <v>8</v>
      </c>
      <c r="B539" s="93"/>
      <c r="C539" s="93" t="s">
        <v>2077</v>
      </c>
      <c r="D539" s="81" t="s">
        <v>2078</v>
      </c>
      <c r="E539" s="87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"/>
      <c r="Z539" s="9"/>
    </row>
    <row r="540" spans="1:26" ht="15.75" customHeight="1">
      <c r="A540" s="92">
        <v>9</v>
      </c>
      <c r="B540" s="93"/>
      <c r="C540" s="93" t="s">
        <v>2079</v>
      </c>
      <c r="D540" s="81" t="s">
        <v>2080</v>
      </c>
      <c r="E540" s="87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"/>
      <c r="Z540" s="9"/>
    </row>
    <row r="541" spans="1:26" ht="15.75" customHeight="1">
      <c r="A541" s="92">
        <v>10</v>
      </c>
      <c r="B541" s="93"/>
      <c r="C541" s="93" t="s">
        <v>2081</v>
      </c>
      <c r="D541" s="81" t="s">
        <v>2082</v>
      </c>
      <c r="E541" s="87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"/>
      <c r="Z541" s="9"/>
    </row>
    <row r="542" spans="1:26" ht="15.75" customHeight="1">
      <c r="A542" s="92">
        <v>11</v>
      </c>
      <c r="B542" s="93"/>
      <c r="C542" s="93" t="s">
        <v>2083</v>
      </c>
      <c r="D542" s="81" t="s">
        <v>2084</v>
      </c>
      <c r="E542" s="87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"/>
      <c r="Z542" s="9"/>
    </row>
    <row r="543" spans="1:26" ht="15.75" customHeight="1">
      <c r="A543" s="92">
        <v>12</v>
      </c>
      <c r="B543" s="93"/>
      <c r="C543" s="93" t="s">
        <v>2085</v>
      </c>
      <c r="D543" s="81" t="s">
        <v>2086</v>
      </c>
      <c r="E543" s="87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"/>
      <c r="Z543" s="9"/>
    </row>
    <row r="544" spans="1:26" ht="15.75" customHeight="1">
      <c r="A544" s="92">
        <v>13</v>
      </c>
      <c r="B544" s="93"/>
      <c r="C544" s="93" t="s">
        <v>2087</v>
      </c>
      <c r="D544" s="81" t="s">
        <v>2088</v>
      </c>
      <c r="E544" s="87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"/>
      <c r="Z544" s="9"/>
    </row>
    <row r="545" spans="1:26" ht="15.75" customHeight="1">
      <c r="A545" s="92">
        <v>14</v>
      </c>
      <c r="B545" s="93"/>
      <c r="C545" s="93" t="s">
        <v>2089</v>
      </c>
      <c r="D545" s="81" t="s">
        <v>2090</v>
      </c>
      <c r="E545" s="87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"/>
      <c r="Z545" s="9"/>
    </row>
    <row r="546" spans="1:26" ht="15.75" customHeight="1">
      <c r="A546" s="92">
        <v>15</v>
      </c>
      <c r="B546" s="93"/>
      <c r="C546" s="93" t="s">
        <v>2091</v>
      </c>
      <c r="D546" s="81" t="s">
        <v>2092</v>
      </c>
      <c r="E546" s="87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"/>
      <c r="Z546" s="9"/>
    </row>
    <row r="547" spans="1:26" ht="15.75" customHeight="1">
      <c r="A547" s="92">
        <v>16</v>
      </c>
      <c r="B547" s="93"/>
      <c r="C547" s="93" t="s">
        <v>2093</v>
      </c>
      <c r="D547" s="81" t="s">
        <v>2094</v>
      </c>
      <c r="E547" s="87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"/>
      <c r="Z547" s="9"/>
    </row>
    <row r="548" spans="1:26" ht="15.75" customHeight="1">
      <c r="A548" s="92">
        <v>17</v>
      </c>
      <c r="B548" s="93"/>
      <c r="C548" s="93" t="s">
        <v>2095</v>
      </c>
      <c r="D548" s="81" t="s">
        <v>2096</v>
      </c>
      <c r="E548" s="87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"/>
      <c r="Z548" s="9"/>
    </row>
    <row r="549" spans="1:26" ht="15.75" customHeight="1">
      <c r="A549" s="92">
        <v>18</v>
      </c>
      <c r="B549" s="93"/>
      <c r="C549" s="93" t="s">
        <v>2097</v>
      </c>
      <c r="D549" s="81" t="s">
        <v>2098</v>
      </c>
      <c r="E549" s="87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"/>
      <c r="Z549" s="9"/>
    </row>
    <row r="550" spans="1:26" ht="15.75" customHeight="1">
      <c r="A550" s="92">
        <v>19</v>
      </c>
      <c r="B550" s="93"/>
      <c r="C550" s="93" t="s">
        <v>2099</v>
      </c>
      <c r="D550" s="81" t="s">
        <v>2100</v>
      </c>
      <c r="E550" s="87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"/>
      <c r="Z550" s="9"/>
    </row>
    <row r="551" spans="1:26" ht="15.75" customHeight="1">
      <c r="A551" s="92">
        <v>20</v>
      </c>
      <c r="B551" s="93"/>
      <c r="C551" s="93" t="s">
        <v>2101</v>
      </c>
      <c r="D551" s="81" t="s">
        <v>2102</v>
      </c>
      <c r="E551" s="87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"/>
      <c r="Z551" s="9"/>
    </row>
    <row r="552" spans="1:26" ht="15.75" customHeight="1">
      <c r="A552" s="92">
        <v>21</v>
      </c>
      <c r="B552" s="93"/>
      <c r="C552" s="93" t="s">
        <v>2103</v>
      </c>
      <c r="D552" s="81" t="s">
        <v>2104</v>
      </c>
      <c r="E552" s="87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"/>
      <c r="Z552" s="9"/>
    </row>
    <row r="553" spans="1:26" ht="15.75" customHeight="1">
      <c r="A553" s="92">
        <v>22</v>
      </c>
      <c r="B553" s="93"/>
      <c r="C553" s="93" t="s">
        <v>2105</v>
      </c>
      <c r="D553" s="81" t="s">
        <v>2106</v>
      </c>
      <c r="E553" s="87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"/>
      <c r="Z553" s="9"/>
    </row>
    <row r="554" spans="1:26" ht="15.75" customHeight="1">
      <c r="A554" s="92">
        <v>23</v>
      </c>
      <c r="B554" s="93"/>
      <c r="C554" s="93" t="s">
        <v>2107</v>
      </c>
      <c r="D554" s="81" t="s">
        <v>2108</v>
      </c>
      <c r="E554" s="87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"/>
      <c r="Z554" s="9"/>
    </row>
    <row r="555" spans="1:26" ht="15.75" customHeight="1">
      <c r="A555" s="92">
        <v>24</v>
      </c>
      <c r="B555" s="93"/>
      <c r="C555" s="93" t="s">
        <v>2109</v>
      </c>
      <c r="D555" s="81" t="s">
        <v>2110</v>
      </c>
      <c r="E555" s="87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"/>
      <c r="Z555" s="9"/>
    </row>
    <row r="556" spans="1:26" ht="15.75" customHeight="1">
      <c r="A556" s="92">
        <v>25</v>
      </c>
      <c r="B556" s="93"/>
      <c r="C556" s="93" t="s">
        <v>2111</v>
      </c>
      <c r="D556" s="81" t="s">
        <v>2112</v>
      </c>
      <c r="E556" s="87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"/>
      <c r="Z556" s="9"/>
    </row>
    <row r="557" spans="1:26" ht="15.75" customHeight="1">
      <c r="A557" s="92">
        <v>26</v>
      </c>
      <c r="B557" s="93"/>
      <c r="C557" s="93" t="s">
        <v>2113</v>
      </c>
      <c r="D557" s="81" t="s">
        <v>2114</v>
      </c>
      <c r="E557" s="87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"/>
      <c r="Z557" s="9"/>
    </row>
    <row r="558" spans="1:26" ht="15.75" customHeight="1">
      <c r="A558" s="92">
        <v>27</v>
      </c>
      <c r="B558" s="93"/>
      <c r="C558" s="93" t="s">
        <v>2115</v>
      </c>
      <c r="D558" s="81" t="s">
        <v>2116</v>
      </c>
      <c r="E558" s="87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"/>
      <c r="Z558" s="9"/>
    </row>
    <row r="559" spans="1:26" ht="15.75" customHeight="1">
      <c r="A559" s="92">
        <v>28</v>
      </c>
      <c r="B559" s="93"/>
      <c r="C559" s="93" t="s">
        <v>2117</v>
      </c>
      <c r="D559" s="81" t="s">
        <v>2118</v>
      </c>
      <c r="E559" s="87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"/>
      <c r="Z559" s="9"/>
    </row>
    <row r="560" spans="1:26" ht="15.75" customHeight="1">
      <c r="A560" s="92">
        <v>29</v>
      </c>
      <c r="B560" s="93"/>
      <c r="C560" s="93" t="s">
        <v>2119</v>
      </c>
      <c r="D560" s="81" t="s">
        <v>2120</v>
      </c>
      <c r="E560" s="87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"/>
      <c r="Z560" s="9"/>
    </row>
    <row r="561" spans="1:26" ht="15.75" customHeight="1">
      <c r="A561" s="92">
        <v>30</v>
      </c>
      <c r="B561" s="93"/>
      <c r="C561" s="93" t="s">
        <v>2121</v>
      </c>
      <c r="D561" s="81" t="s">
        <v>2122</v>
      </c>
      <c r="E561" s="87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"/>
      <c r="Z561" s="9"/>
    </row>
    <row r="562" spans="1:26" ht="15.75" customHeight="1">
      <c r="A562" s="92">
        <v>31</v>
      </c>
      <c r="B562" s="93"/>
      <c r="C562" s="93" t="s">
        <v>2123</v>
      </c>
      <c r="D562" s="81" t="s">
        <v>2124</v>
      </c>
      <c r="E562" s="87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</row>
    <row r="563" spans="1:26" ht="15.75" customHeight="1">
      <c r="A563" s="92">
        <v>32</v>
      </c>
      <c r="B563" s="93"/>
      <c r="C563" s="93" t="s">
        <v>2125</v>
      </c>
      <c r="D563" s="81" t="s">
        <v>2126</v>
      </c>
      <c r="E563" s="87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</row>
    <row r="564" spans="1:26" ht="15.75" customHeight="1">
      <c r="A564" s="92">
        <v>33</v>
      </c>
      <c r="B564" s="93"/>
      <c r="C564" s="93" t="s">
        <v>2127</v>
      </c>
      <c r="D564" s="81" t="s">
        <v>2128</v>
      </c>
      <c r="E564" s="87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</row>
    <row r="565" spans="1:26" ht="15.75" customHeight="1">
      <c r="A565" s="92">
        <v>34</v>
      </c>
      <c r="B565" s="93"/>
      <c r="C565" s="93" t="s">
        <v>2129</v>
      </c>
      <c r="D565" s="81" t="s">
        <v>2130</v>
      </c>
      <c r="E565" s="87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</row>
    <row r="566" spans="1:26" ht="15.75" customHeight="1">
      <c r="A566" s="92">
        <v>35</v>
      </c>
      <c r="B566" s="93"/>
      <c r="C566" s="93"/>
      <c r="D566" s="81"/>
      <c r="E566" s="87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</row>
    <row r="567" spans="1:26" ht="15.75" customHeight="1">
      <c r="A567" s="92">
        <v>36</v>
      </c>
      <c r="B567" s="93"/>
      <c r="C567" s="93"/>
      <c r="D567" s="81"/>
      <c r="E567" s="87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</row>
    <row r="568" spans="1:26" ht="15.75" customHeight="1">
      <c r="A568" s="92">
        <v>37</v>
      </c>
      <c r="B568" s="93"/>
      <c r="C568" s="93"/>
      <c r="D568" s="81"/>
      <c r="E568" s="87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</row>
    <row r="569" spans="1:26" ht="15.75" customHeight="1">
      <c r="A569" s="92">
        <v>38</v>
      </c>
      <c r="B569" s="93"/>
      <c r="C569" s="93"/>
      <c r="D569" s="81"/>
      <c r="E569" s="87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</row>
    <row r="570" spans="1:26" ht="15.75" customHeight="1">
      <c r="A570" s="77"/>
      <c r="B570" s="79"/>
      <c r="C570" s="79"/>
      <c r="D570" s="66"/>
      <c r="E570" s="10"/>
    </row>
    <row r="571" spans="1:26">
      <c r="A571" s="3"/>
      <c r="B571" s="3"/>
      <c r="C571" s="3"/>
      <c r="D571" s="3" t="s">
        <v>864</v>
      </c>
      <c r="E571" s="10">
        <f>SUM(E572:E573)</f>
        <v>0</v>
      </c>
      <c r="G571" s="7"/>
      <c r="H571" s="7"/>
    </row>
    <row r="572" spans="1:26">
      <c r="A572" s="3"/>
      <c r="B572" s="3"/>
      <c r="C572" s="3"/>
      <c r="D572" s="43" t="s">
        <v>10</v>
      </c>
      <c r="E572" s="41">
        <f>COUNTIF(E532:E569,"L")</f>
        <v>0</v>
      </c>
      <c r="G572" s="2"/>
    </row>
    <row r="573" spans="1:26">
      <c r="A573" s="3"/>
      <c r="B573" s="3"/>
      <c r="C573" s="3"/>
      <c r="D573" s="43" t="s">
        <v>11</v>
      </c>
      <c r="E573" s="41">
        <f>COUNTIF(E532:E567,"P")</f>
        <v>0</v>
      </c>
      <c r="G573" s="2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1"/>
      <c r="S573" s="2"/>
      <c r="T573" s="2"/>
      <c r="U573" s="2"/>
      <c r="V573" s="2"/>
      <c r="W573" s="2"/>
      <c r="X573" s="3"/>
      <c r="Y573" s="2"/>
    </row>
    <row r="574" spans="1:26">
      <c r="A574" s="1" t="s">
        <v>12</v>
      </c>
      <c r="B574" s="1"/>
      <c r="C574" s="1"/>
      <c r="E574" s="1"/>
      <c r="F574" s="2"/>
      <c r="G574" s="2"/>
      <c r="H574" s="2"/>
      <c r="I574" s="3"/>
      <c r="J574" s="3"/>
      <c r="K574" s="3"/>
      <c r="L574" s="3"/>
      <c r="M574" s="3"/>
      <c r="N574" s="3"/>
      <c r="O574" s="3"/>
      <c r="P574" s="1" t="s">
        <v>1605</v>
      </c>
      <c r="Q574" s="2"/>
      <c r="T574" s="2"/>
      <c r="U574" s="2"/>
      <c r="V574" s="2"/>
      <c r="W574" s="2"/>
      <c r="X574" s="3"/>
      <c r="Y574" s="2"/>
    </row>
    <row r="575" spans="1:26">
      <c r="A575" s="1" t="s">
        <v>13</v>
      </c>
      <c r="B575" s="1"/>
      <c r="C575" s="1"/>
      <c r="E575" s="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" t="s">
        <v>14</v>
      </c>
      <c r="Q575" s="3"/>
      <c r="S575" s="2"/>
      <c r="T575" s="2"/>
      <c r="U575" s="2"/>
      <c r="V575" s="2"/>
      <c r="W575" s="2"/>
      <c r="X575" s="3"/>
      <c r="Y575" s="2"/>
    </row>
    <row r="576" spans="1:26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"/>
      <c r="Q576" s="3"/>
      <c r="S576" s="2"/>
      <c r="T576" s="2"/>
      <c r="U576" s="2"/>
      <c r="V576" s="2"/>
      <c r="W576" s="2"/>
      <c r="X576" s="3"/>
      <c r="Y576" s="2"/>
    </row>
    <row r="577" spans="1:25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S577" s="2"/>
      <c r="T577" s="2"/>
      <c r="U577" s="2"/>
      <c r="V577" s="2"/>
      <c r="W577" s="2"/>
      <c r="X577" s="2"/>
      <c r="Y577" s="2"/>
    </row>
    <row r="578" spans="1:25" ht="15.75">
      <c r="A578" s="8" t="s">
        <v>854</v>
      </c>
      <c r="B578" s="8"/>
      <c r="C578" s="8"/>
      <c r="D578" s="8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8" t="s">
        <v>16</v>
      </c>
      <c r="Q578" s="8"/>
      <c r="S578" s="2"/>
      <c r="T578" s="9"/>
      <c r="U578" s="9"/>
      <c r="V578" s="9"/>
      <c r="W578" s="9"/>
      <c r="X578" s="9"/>
      <c r="Y578" s="9"/>
    </row>
    <row r="579" spans="1:25" ht="15.75">
      <c r="A579" s="8" t="s">
        <v>855</v>
      </c>
      <c r="B579" s="8"/>
      <c r="C579" s="8"/>
      <c r="D579" s="8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8" t="s">
        <v>17</v>
      </c>
      <c r="Q579" s="2"/>
      <c r="T579" s="9"/>
      <c r="U579" s="9"/>
      <c r="V579" s="9"/>
    </row>
    <row r="580" spans="1:25" ht="15.7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 spans="1:25" ht="15.7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 spans="1:25" ht="15.7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 spans="1:25" ht="15.7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 spans="1:25" ht="15.7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 spans="1:25" ht="15.7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 spans="1:25" ht="15.7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 spans="1:25" ht="15.7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 spans="1:25" ht="15.7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 spans="1:25" ht="15.7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 spans="1:25" ht="15.7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 spans="1:25" ht="15.7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 spans="1:25" ht="15.7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 spans="1:26" ht="15.7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 spans="1:26" ht="15.7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 spans="1:26" ht="15.75" customHeight="1"/>
    <row r="596" spans="1:26" ht="15.75" customHeight="1"/>
    <row r="597" spans="1:26" ht="15.75" customHeight="1"/>
    <row r="598" spans="1:26" ht="15.75" customHeight="1"/>
    <row r="599" spans="1:26" ht="15.75" customHeight="1"/>
    <row r="600" spans="1:26" ht="15.75" customHeight="1"/>
    <row r="601" spans="1:26" ht="15.75" customHeight="1"/>
    <row r="602" spans="1:26" ht="15.75" customHeight="1"/>
    <row r="603" spans="1:26" ht="15.75" customHeight="1">
      <c r="A603" s="211" t="s">
        <v>132</v>
      </c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</row>
    <row r="604" spans="1:26" ht="15.75" customHeight="1">
      <c r="A604" s="211" t="s">
        <v>0</v>
      </c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8"/>
      <c r="Z604" s="8"/>
    </row>
    <row r="605" spans="1:26" ht="15.75" customHeight="1">
      <c r="Y605" s="8"/>
      <c r="Z605" s="8"/>
    </row>
    <row r="606" spans="1:26" ht="15.75" customHeight="1">
      <c r="A606" s="21" t="s">
        <v>133</v>
      </c>
      <c r="B606" s="21"/>
      <c r="C606" s="22" t="s">
        <v>2131</v>
      </c>
      <c r="D606" s="23"/>
      <c r="E606" s="23" t="s">
        <v>1623</v>
      </c>
      <c r="F606" s="54"/>
      <c r="G606" s="54"/>
      <c r="H606" s="54"/>
      <c r="I606" s="54"/>
      <c r="J606" s="54"/>
      <c r="K606" s="54"/>
      <c r="L606" s="54" t="s">
        <v>1624</v>
      </c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8"/>
    </row>
    <row r="607" spans="1:26" ht="15.75" customHeight="1">
      <c r="A607" s="205" t="s">
        <v>134</v>
      </c>
      <c r="B607" s="205"/>
      <c r="C607" s="15" t="s">
        <v>21</v>
      </c>
      <c r="D607" s="82"/>
      <c r="E607" s="14" t="s">
        <v>1621</v>
      </c>
      <c r="F607" s="82"/>
      <c r="G607" s="82"/>
      <c r="H607" s="82"/>
      <c r="I607" s="82"/>
      <c r="J607" s="82"/>
      <c r="K607" s="16"/>
      <c r="L607" s="82" t="s">
        <v>1622</v>
      </c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"/>
    </row>
    <row r="608" spans="1:26" ht="15.75" customHeight="1">
      <c r="D608" s="82"/>
      <c r="E608" s="83" t="s">
        <v>1625</v>
      </c>
      <c r="F608" s="82"/>
      <c r="G608" s="82"/>
      <c r="H608" s="82"/>
      <c r="I608" s="82"/>
      <c r="J608" s="82"/>
      <c r="K608" s="82"/>
      <c r="L608" s="82" t="s">
        <v>1626</v>
      </c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"/>
    </row>
    <row r="609" spans="1:26" ht="15.75" customHeight="1">
      <c r="A609" s="212" t="s">
        <v>136</v>
      </c>
      <c r="B609" s="212"/>
      <c r="C609" s="22" t="s">
        <v>2615</v>
      </c>
      <c r="D609" s="54"/>
      <c r="E609" s="23" t="s">
        <v>1627</v>
      </c>
      <c r="F609" s="54"/>
      <c r="G609" s="16"/>
      <c r="H609" s="54"/>
      <c r="I609" s="54"/>
      <c r="J609" s="54"/>
      <c r="K609" s="54" t="s">
        <v>1617</v>
      </c>
      <c r="L609" s="54" t="s">
        <v>1618</v>
      </c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8"/>
    </row>
    <row r="610" spans="1:26" ht="15.75" customHeight="1">
      <c r="A610" s="21"/>
      <c r="B610" s="21"/>
      <c r="C610" s="22"/>
      <c r="D610" s="54"/>
      <c r="E610" s="23"/>
      <c r="F610" s="54"/>
      <c r="G610" s="16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8"/>
    </row>
    <row r="611" spans="1:26" ht="15.75" customHeight="1">
      <c r="A611" s="24"/>
      <c r="B611" s="24"/>
      <c r="C611" s="24"/>
      <c r="D611" s="205" t="s">
        <v>1599</v>
      </c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8"/>
    </row>
    <row r="612" spans="1:26" ht="15.75" customHeight="1">
      <c r="A612" s="206" t="s">
        <v>1</v>
      </c>
      <c r="B612" s="206" t="s">
        <v>2</v>
      </c>
      <c r="C612" s="206" t="s">
        <v>18</v>
      </c>
      <c r="D612" s="206" t="s">
        <v>137</v>
      </c>
      <c r="E612" s="213" t="s">
        <v>3</v>
      </c>
      <c r="F612" s="208" t="s">
        <v>4</v>
      </c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10"/>
      <c r="V612" s="208" t="s">
        <v>5</v>
      </c>
      <c r="W612" s="209"/>
      <c r="X612" s="210"/>
    </row>
    <row r="613" spans="1:26" ht="15.75" customHeight="1">
      <c r="A613" s="207"/>
      <c r="B613" s="207"/>
      <c r="C613" s="207"/>
      <c r="D613" s="207"/>
      <c r="E613" s="214"/>
      <c r="F613" s="91">
        <v>1</v>
      </c>
      <c r="G613" s="91">
        <v>2</v>
      </c>
      <c r="H613" s="91">
        <v>3</v>
      </c>
      <c r="I613" s="91">
        <v>4</v>
      </c>
      <c r="J613" s="91">
        <v>5</v>
      </c>
      <c r="K613" s="91">
        <v>6</v>
      </c>
      <c r="L613" s="91">
        <v>7</v>
      </c>
      <c r="M613" s="91">
        <v>8</v>
      </c>
      <c r="N613" s="91">
        <v>9</v>
      </c>
      <c r="O613" s="91">
        <v>10</v>
      </c>
      <c r="P613" s="91">
        <v>11</v>
      </c>
      <c r="Q613" s="91">
        <v>12</v>
      </c>
      <c r="R613" s="91">
        <v>13</v>
      </c>
      <c r="S613" s="91">
        <v>14</v>
      </c>
      <c r="T613" s="91">
        <v>15</v>
      </c>
      <c r="U613" s="91">
        <v>16</v>
      </c>
      <c r="V613" s="91" t="s">
        <v>6</v>
      </c>
      <c r="W613" s="91" t="s">
        <v>7</v>
      </c>
      <c r="X613" s="91" t="s">
        <v>8</v>
      </c>
      <c r="Y613" s="9"/>
      <c r="Z613" s="9"/>
    </row>
    <row r="614" spans="1:26" ht="15.75" customHeight="1">
      <c r="A614" s="48"/>
      <c r="B614" s="48"/>
      <c r="C614" s="48"/>
      <c r="D614" s="48"/>
      <c r="E614" s="49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"/>
      <c r="Z614" s="9"/>
    </row>
    <row r="615" spans="1:26" ht="15.75" customHeight="1">
      <c r="A615" s="92">
        <v>1</v>
      </c>
      <c r="B615" s="93"/>
      <c r="C615" s="93" t="s">
        <v>2132</v>
      </c>
      <c r="D615" s="81" t="s">
        <v>2133</v>
      </c>
      <c r="E615" s="87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"/>
      <c r="Z615" s="9"/>
    </row>
    <row r="616" spans="1:26" ht="15.75" customHeight="1">
      <c r="A616" s="92">
        <v>2</v>
      </c>
      <c r="B616" s="93"/>
      <c r="C616" s="93" t="s">
        <v>2134</v>
      </c>
      <c r="D616" s="81" t="s">
        <v>2135</v>
      </c>
      <c r="E616" s="87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"/>
      <c r="Z616" s="9"/>
    </row>
    <row r="617" spans="1:26" ht="15.75" customHeight="1">
      <c r="A617" s="92">
        <v>3</v>
      </c>
      <c r="B617" s="93"/>
      <c r="C617" s="93" t="s">
        <v>2136</v>
      </c>
      <c r="D617" s="81" t="s">
        <v>2137</v>
      </c>
      <c r="E617" s="87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"/>
      <c r="Z617" s="9"/>
    </row>
    <row r="618" spans="1:26" ht="15.75" customHeight="1">
      <c r="A618" s="92">
        <v>4</v>
      </c>
      <c r="B618" s="93"/>
      <c r="C618" s="93" t="s">
        <v>2138</v>
      </c>
      <c r="D618" s="81" t="s">
        <v>2139</v>
      </c>
      <c r="E618" s="87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"/>
      <c r="Z618" s="9"/>
    </row>
    <row r="619" spans="1:26" ht="15.75" customHeight="1">
      <c r="A619" s="92">
        <v>5</v>
      </c>
      <c r="B619" s="93"/>
      <c r="C619" s="93" t="s">
        <v>2140</v>
      </c>
      <c r="D619" s="81" t="s">
        <v>2141</v>
      </c>
      <c r="E619" s="87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"/>
      <c r="Z619" s="9"/>
    </row>
    <row r="620" spans="1:26" ht="15.75" customHeight="1">
      <c r="A620" s="92">
        <v>6</v>
      </c>
      <c r="B620" s="93"/>
      <c r="C620" s="93" t="s">
        <v>2142</v>
      </c>
      <c r="D620" s="81" t="s">
        <v>2143</v>
      </c>
      <c r="E620" s="87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"/>
      <c r="Z620" s="9"/>
    </row>
    <row r="621" spans="1:26" ht="15.75" customHeight="1">
      <c r="A621" s="92">
        <v>7</v>
      </c>
      <c r="B621" s="93"/>
      <c r="C621" s="93" t="s">
        <v>2144</v>
      </c>
      <c r="D621" s="81" t="s">
        <v>2145</v>
      </c>
      <c r="E621" s="87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"/>
      <c r="Z621" s="9"/>
    </row>
    <row r="622" spans="1:26" ht="15.75" customHeight="1">
      <c r="A622" s="92">
        <v>8</v>
      </c>
      <c r="B622" s="93"/>
      <c r="C622" s="93" t="s">
        <v>2146</v>
      </c>
      <c r="D622" s="81" t="s">
        <v>2147</v>
      </c>
      <c r="E622" s="87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"/>
      <c r="Z622" s="9"/>
    </row>
    <row r="623" spans="1:26" ht="15.75" customHeight="1">
      <c r="A623" s="92">
        <v>9</v>
      </c>
      <c r="B623" s="93"/>
      <c r="C623" s="93" t="s">
        <v>2148</v>
      </c>
      <c r="D623" s="81" t="s">
        <v>2149</v>
      </c>
      <c r="E623" s="87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"/>
      <c r="Z623" s="9"/>
    </row>
    <row r="624" spans="1:26" ht="15.75" customHeight="1">
      <c r="A624" s="92">
        <v>10</v>
      </c>
      <c r="B624" s="93"/>
      <c r="C624" s="93" t="s">
        <v>2150</v>
      </c>
      <c r="D624" s="81" t="s">
        <v>245</v>
      </c>
      <c r="E624" s="87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"/>
      <c r="Z624" s="9"/>
    </row>
    <row r="625" spans="1:26" ht="15.75" customHeight="1">
      <c r="A625" s="92">
        <v>11</v>
      </c>
      <c r="B625" s="93"/>
      <c r="C625" s="93" t="s">
        <v>2151</v>
      </c>
      <c r="D625" s="81" t="s">
        <v>2152</v>
      </c>
      <c r="E625" s="87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"/>
      <c r="Z625" s="9"/>
    </row>
    <row r="626" spans="1:26" ht="15.75" customHeight="1">
      <c r="A626" s="92">
        <v>12</v>
      </c>
      <c r="B626" s="93"/>
      <c r="C626" s="93" t="s">
        <v>2153</v>
      </c>
      <c r="D626" s="81" t="s">
        <v>2154</v>
      </c>
      <c r="E626" s="87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"/>
      <c r="Z626" s="9"/>
    </row>
    <row r="627" spans="1:26" ht="15.75" customHeight="1">
      <c r="A627" s="92">
        <v>13</v>
      </c>
      <c r="B627" s="93"/>
      <c r="C627" s="93" t="s">
        <v>2155</v>
      </c>
      <c r="D627" s="81" t="s">
        <v>2156</v>
      </c>
      <c r="E627" s="87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"/>
      <c r="Z627" s="9"/>
    </row>
    <row r="628" spans="1:26" ht="15.75" customHeight="1">
      <c r="A628" s="92">
        <v>14</v>
      </c>
      <c r="B628" s="93"/>
      <c r="C628" s="93" t="s">
        <v>2157</v>
      </c>
      <c r="D628" s="81" t="s">
        <v>2158</v>
      </c>
      <c r="E628" s="87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"/>
      <c r="Z628" s="9"/>
    </row>
    <row r="629" spans="1:26" ht="15.75" customHeight="1">
      <c r="A629" s="92">
        <v>15</v>
      </c>
      <c r="B629" s="93"/>
      <c r="C629" s="93" t="s">
        <v>2159</v>
      </c>
      <c r="D629" s="81" t="s">
        <v>2160</v>
      </c>
      <c r="E629" s="87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"/>
      <c r="Z629" s="9"/>
    </row>
    <row r="630" spans="1:26" ht="15.75" customHeight="1">
      <c r="A630" s="92">
        <v>16</v>
      </c>
      <c r="B630" s="93"/>
      <c r="C630" s="93" t="s">
        <v>2161</v>
      </c>
      <c r="D630" s="81" t="s">
        <v>2162</v>
      </c>
      <c r="E630" s="87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"/>
      <c r="Z630" s="9"/>
    </row>
    <row r="631" spans="1:26" ht="15.75" customHeight="1">
      <c r="A631" s="92">
        <v>17</v>
      </c>
      <c r="B631" s="93"/>
      <c r="C631" s="93" t="s">
        <v>2163</v>
      </c>
      <c r="D631" s="81" t="s">
        <v>2164</v>
      </c>
      <c r="E631" s="87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"/>
      <c r="Z631" s="9"/>
    </row>
    <row r="632" spans="1:26" ht="15.75" customHeight="1">
      <c r="A632" s="92">
        <v>18</v>
      </c>
      <c r="B632" s="93"/>
      <c r="C632" s="93" t="s">
        <v>2165</v>
      </c>
      <c r="D632" s="81" t="s">
        <v>2166</v>
      </c>
      <c r="E632" s="87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"/>
      <c r="Z632" s="9"/>
    </row>
    <row r="633" spans="1:26" ht="15.75" customHeight="1">
      <c r="A633" s="92">
        <v>19</v>
      </c>
      <c r="B633" s="93"/>
      <c r="C633" s="93" t="s">
        <v>2167</v>
      </c>
      <c r="D633" s="81" t="s">
        <v>2168</v>
      </c>
      <c r="E633" s="87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"/>
      <c r="Z633" s="9"/>
    </row>
    <row r="634" spans="1:26" ht="15.75" customHeight="1">
      <c r="A634" s="92">
        <v>20</v>
      </c>
      <c r="B634" s="93"/>
      <c r="C634" s="93" t="s">
        <v>2169</v>
      </c>
      <c r="D634" s="81" t="s">
        <v>2170</v>
      </c>
      <c r="E634" s="87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"/>
      <c r="Z634" s="9"/>
    </row>
    <row r="635" spans="1:26" ht="15.75" customHeight="1">
      <c r="A635" s="92">
        <v>21</v>
      </c>
      <c r="B635" s="93"/>
      <c r="C635" s="93" t="s">
        <v>2171</v>
      </c>
      <c r="D635" s="81" t="s">
        <v>2172</v>
      </c>
      <c r="E635" s="87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"/>
      <c r="Z635" s="9"/>
    </row>
    <row r="636" spans="1:26" ht="15.75" customHeight="1">
      <c r="A636" s="92">
        <v>22</v>
      </c>
      <c r="B636" s="93"/>
      <c r="C636" s="93" t="s">
        <v>2173</v>
      </c>
      <c r="D636" s="81" t="s">
        <v>2174</v>
      </c>
      <c r="E636" s="87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"/>
      <c r="Z636" s="9"/>
    </row>
    <row r="637" spans="1:26" ht="15.75" customHeight="1">
      <c r="A637" s="92">
        <v>23</v>
      </c>
      <c r="B637" s="93"/>
      <c r="C637" s="93" t="s">
        <v>2175</v>
      </c>
      <c r="D637" s="81" t="s">
        <v>2176</v>
      </c>
      <c r="E637" s="87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"/>
      <c r="Z637" s="9"/>
    </row>
    <row r="638" spans="1:26" ht="15.75" customHeight="1">
      <c r="A638" s="92">
        <v>24</v>
      </c>
      <c r="B638" s="93"/>
      <c r="C638" s="93" t="s">
        <v>2177</v>
      </c>
      <c r="D638" s="81" t="s">
        <v>2178</v>
      </c>
      <c r="E638" s="87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"/>
      <c r="Z638" s="9"/>
    </row>
    <row r="639" spans="1:26" ht="15.75" customHeight="1">
      <c r="A639" s="92">
        <v>25</v>
      </c>
      <c r="B639" s="93"/>
      <c r="C639" s="93" t="s">
        <v>2179</v>
      </c>
      <c r="D639" s="81" t="s">
        <v>2180</v>
      </c>
      <c r="E639" s="87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"/>
      <c r="Z639" s="9"/>
    </row>
    <row r="640" spans="1:26" ht="15.75" customHeight="1">
      <c r="A640" s="92">
        <v>26</v>
      </c>
      <c r="B640" s="93"/>
      <c r="C640" s="93" t="s">
        <v>2181</v>
      </c>
      <c r="D640" s="81" t="s">
        <v>2182</v>
      </c>
      <c r="E640" s="87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"/>
      <c r="Z640" s="9"/>
    </row>
    <row r="641" spans="1:26" ht="15.75" customHeight="1">
      <c r="A641" s="92">
        <v>27</v>
      </c>
      <c r="B641" s="93"/>
      <c r="C641" s="93" t="s">
        <v>2183</v>
      </c>
      <c r="D641" s="81" t="s">
        <v>2184</v>
      </c>
      <c r="E641" s="87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"/>
      <c r="Z641" s="9"/>
    </row>
    <row r="642" spans="1:26" ht="15.75" customHeight="1">
      <c r="A642" s="92">
        <v>28</v>
      </c>
      <c r="B642" s="93"/>
      <c r="C642" s="93" t="s">
        <v>2185</v>
      </c>
      <c r="D642" s="81" t="s">
        <v>2186</v>
      </c>
      <c r="E642" s="87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"/>
      <c r="Z642" s="9"/>
    </row>
    <row r="643" spans="1:26" ht="15.75" customHeight="1">
      <c r="A643" s="92">
        <v>29</v>
      </c>
      <c r="B643" s="93"/>
      <c r="C643" s="93" t="s">
        <v>2187</v>
      </c>
      <c r="D643" s="81" t="s">
        <v>2188</v>
      </c>
      <c r="E643" s="87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"/>
      <c r="Z643" s="9"/>
    </row>
    <row r="644" spans="1:26" ht="15.75" customHeight="1">
      <c r="A644" s="92">
        <v>30</v>
      </c>
      <c r="B644" s="93"/>
      <c r="C644" s="93" t="s">
        <v>2189</v>
      </c>
      <c r="D644" s="81" t="s">
        <v>2190</v>
      </c>
      <c r="E644" s="87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"/>
      <c r="Z644" s="9"/>
    </row>
    <row r="645" spans="1:26" ht="15.75" customHeight="1">
      <c r="A645" s="92">
        <v>31</v>
      </c>
      <c r="B645" s="93"/>
      <c r="C645" s="93" t="s">
        <v>2191</v>
      </c>
      <c r="D645" s="81" t="s">
        <v>2192</v>
      </c>
      <c r="E645" s="87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</row>
    <row r="646" spans="1:26" ht="15.75" customHeight="1">
      <c r="A646" s="92">
        <v>32</v>
      </c>
      <c r="B646" s="93"/>
      <c r="C646" s="93" t="s">
        <v>2193</v>
      </c>
      <c r="D646" s="81" t="s">
        <v>2194</v>
      </c>
      <c r="E646" s="87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</row>
    <row r="647" spans="1:26" ht="15.75" customHeight="1">
      <c r="A647" s="92">
        <v>33</v>
      </c>
      <c r="B647" s="93"/>
      <c r="C647" s="93" t="s">
        <v>2195</v>
      </c>
      <c r="D647" s="81" t="s">
        <v>2196</v>
      </c>
      <c r="E647" s="87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</row>
    <row r="648" spans="1:26" ht="15.75" customHeight="1">
      <c r="A648" s="92">
        <v>34</v>
      </c>
      <c r="B648" s="93"/>
      <c r="C648" s="93" t="s">
        <v>2197</v>
      </c>
      <c r="D648" s="81" t="s">
        <v>2198</v>
      </c>
      <c r="E648" s="87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</row>
    <row r="649" spans="1:26" ht="15.75" customHeight="1">
      <c r="A649" s="92">
        <v>35</v>
      </c>
      <c r="B649" s="93"/>
      <c r="C649" s="93" t="s">
        <v>2199</v>
      </c>
      <c r="D649" s="81" t="s">
        <v>2200</v>
      </c>
      <c r="E649" s="87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</row>
    <row r="650" spans="1:26" ht="15.75" customHeight="1">
      <c r="A650" s="92">
        <v>36</v>
      </c>
      <c r="B650" s="93"/>
      <c r="C650" s="93"/>
      <c r="D650" s="81"/>
      <c r="E650" s="87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</row>
    <row r="651" spans="1:26" ht="15.75" customHeight="1">
      <c r="A651" s="92">
        <v>37</v>
      </c>
      <c r="B651" s="93"/>
      <c r="C651" s="93"/>
      <c r="D651" s="81"/>
      <c r="E651" s="87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</row>
    <row r="652" spans="1:26" ht="15.75" customHeight="1">
      <c r="A652" s="92">
        <v>38</v>
      </c>
      <c r="B652" s="93"/>
      <c r="C652" s="93"/>
      <c r="D652" s="81"/>
      <c r="E652" s="87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</row>
    <row r="653" spans="1:26" ht="15.75" customHeight="1">
      <c r="A653" s="77"/>
      <c r="B653" s="79"/>
      <c r="C653" s="79"/>
      <c r="D653" s="66"/>
      <c r="E653" s="10"/>
    </row>
    <row r="654" spans="1:26">
      <c r="A654" s="3"/>
      <c r="B654" s="3"/>
      <c r="C654" s="3"/>
      <c r="D654" s="3" t="s">
        <v>864</v>
      </c>
      <c r="E654" s="10">
        <f>SUM(E655:E656)</f>
        <v>0</v>
      </c>
      <c r="G654" s="7"/>
      <c r="H654" s="7"/>
    </row>
    <row r="655" spans="1:26">
      <c r="A655" s="3"/>
      <c r="B655" s="3"/>
      <c r="C655" s="3"/>
      <c r="D655" s="43" t="s">
        <v>10</v>
      </c>
      <c r="E655" s="41">
        <f>COUNTIF(E615:E652,"L")</f>
        <v>0</v>
      </c>
      <c r="G655" s="2"/>
    </row>
    <row r="656" spans="1:26">
      <c r="A656" s="3"/>
      <c r="B656" s="3"/>
      <c r="C656" s="3"/>
      <c r="D656" s="43" t="s">
        <v>11</v>
      </c>
      <c r="E656" s="41">
        <f>COUNTIF(E615:E650,"P")</f>
        <v>0</v>
      </c>
      <c r="G656" s="2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1"/>
      <c r="S656" s="2"/>
      <c r="T656" s="2"/>
      <c r="U656" s="2"/>
      <c r="V656" s="2"/>
      <c r="W656" s="2"/>
      <c r="X656" s="3"/>
      <c r="Y656" s="2"/>
    </row>
    <row r="657" spans="1:25">
      <c r="A657" s="1" t="s">
        <v>12</v>
      </c>
      <c r="B657" s="1"/>
      <c r="C657" s="1"/>
      <c r="E657" s="1"/>
      <c r="F657" s="2"/>
      <c r="G657" s="2"/>
      <c r="H657" s="2"/>
      <c r="I657" s="3"/>
      <c r="J657" s="3"/>
      <c r="K657" s="3"/>
      <c r="L657" s="3"/>
      <c r="M657" s="3"/>
      <c r="N657" s="3"/>
      <c r="O657" s="3"/>
      <c r="P657" s="1" t="s">
        <v>1605</v>
      </c>
      <c r="Q657" s="2"/>
      <c r="T657" s="2"/>
      <c r="U657" s="2"/>
      <c r="V657" s="2"/>
      <c r="W657" s="2"/>
      <c r="X657" s="3"/>
      <c r="Y657" s="2"/>
    </row>
    <row r="658" spans="1:25">
      <c r="A658" s="1" t="s">
        <v>13</v>
      </c>
      <c r="B658" s="1"/>
      <c r="C658" s="1"/>
      <c r="E658" s="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1" t="s">
        <v>14</v>
      </c>
      <c r="Q658" s="3"/>
      <c r="S658" s="2"/>
      <c r="T658" s="2"/>
      <c r="U658" s="2"/>
      <c r="V658" s="2"/>
      <c r="W658" s="2"/>
      <c r="X658" s="3"/>
      <c r="Y658" s="2"/>
    </row>
    <row r="659" spans="1:25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1"/>
      <c r="Q659" s="3"/>
      <c r="S659" s="2"/>
      <c r="T659" s="2"/>
      <c r="U659" s="2"/>
      <c r="V659" s="2"/>
      <c r="W659" s="2"/>
      <c r="X659" s="3"/>
      <c r="Y659" s="2"/>
    </row>
    <row r="660" spans="1:25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S660" s="2"/>
      <c r="T660" s="2"/>
      <c r="U660" s="2"/>
      <c r="V660" s="2"/>
      <c r="W660" s="2"/>
      <c r="X660" s="2"/>
      <c r="Y660" s="2"/>
    </row>
    <row r="661" spans="1:25" ht="15.75">
      <c r="A661" s="8" t="s">
        <v>854</v>
      </c>
      <c r="B661" s="8"/>
      <c r="C661" s="8"/>
      <c r="D661" s="8"/>
      <c r="E661" s="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8" t="s">
        <v>16</v>
      </c>
      <c r="Q661" s="8"/>
      <c r="S661" s="2"/>
      <c r="T661" s="9"/>
      <c r="U661" s="9"/>
      <c r="V661" s="9"/>
      <c r="W661" s="9"/>
      <c r="X661" s="9"/>
      <c r="Y661" s="9"/>
    </row>
    <row r="662" spans="1:25" ht="15.75">
      <c r="A662" s="8" t="s">
        <v>855</v>
      </c>
      <c r="B662" s="8"/>
      <c r="C662" s="8"/>
      <c r="D662" s="8"/>
      <c r="E662" s="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8" t="s">
        <v>17</v>
      </c>
      <c r="Q662" s="2"/>
      <c r="T662" s="9"/>
      <c r="U662" s="9"/>
      <c r="V662" s="9"/>
    </row>
    <row r="663" spans="1:25" ht="15.7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 spans="1:25" ht="15.7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 spans="1:25" ht="15.7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 spans="1:25" ht="15.7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 spans="1:25" ht="15.7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 spans="1:25" ht="15.7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 spans="1:25" ht="15.7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 spans="1:25" ht="15.7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 spans="1:25" ht="15.7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 spans="1:25" ht="33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 spans="1:26" ht="15.7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 spans="1:26" ht="15.7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 spans="1:26" ht="15.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 spans="1:26" ht="15.7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 spans="1:26" ht="15.7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 spans="1:26" ht="15.7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 spans="1:26" ht="15.75" customHeight="1"/>
    <row r="680" spans="1:26" ht="15.75" customHeight="1"/>
    <row r="681" spans="1:26" ht="15.75" customHeight="1"/>
    <row r="682" spans="1:26" ht="15.75" customHeight="1"/>
    <row r="683" spans="1:26" ht="15.75" customHeight="1"/>
    <row r="684" spans="1:26" ht="15.75" customHeight="1"/>
    <row r="685" spans="1:26" ht="15.75" customHeight="1"/>
    <row r="686" spans="1:26" ht="15.75" customHeight="1"/>
    <row r="687" spans="1:26" ht="15.75" customHeight="1">
      <c r="A687" s="211" t="s">
        <v>132</v>
      </c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</row>
    <row r="688" spans="1:26" ht="15.75" customHeight="1">
      <c r="A688" s="211" t="s">
        <v>0</v>
      </c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8"/>
      <c r="Z688" s="8"/>
    </row>
    <row r="689" spans="1:26" ht="15.75" customHeight="1">
      <c r="Y689" s="8"/>
      <c r="Z689" s="8"/>
    </row>
    <row r="690" spans="1:26" ht="15.75" customHeight="1">
      <c r="A690" s="21" t="s">
        <v>133</v>
      </c>
      <c r="B690" s="21"/>
      <c r="C690" s="22" t="s">
        <v>2201</v>
      </c>
      <c r="D690" s="23"/>
      <c r="E690" s="23" t="s">
        <v>1623</v>
      </c>
      <c r="F690" s="54"/>
      <c r="G690" s="54"/>
      <c r="H690" s="54"/>
      <c r="I690" s="54"/>
      <c r="J690" s="54"/>
      <c r="K690" s="54"/>
      <c r="L690" s="54" t="s">
        <v>1624</v>
      </c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8"/>
    </row>
    <row r="691" spans="1:26" ht="15.75" customHeight="1">
      <c r="A691" s="205" t="s">
        <v>134</v>
      </c>
      <c r="B691" s="205"/>
      <c r="C691" s="15" t="s">
        <v>21</v>
      </c>
      <c r="D691" s="82"/>
      <c r="E691" s="14" t="s">
        <v>1621</v>
      </c>
      <c r="F691" s="82"/>
      <c r="G691" s="82"/>
      <c r="H691" s="82"/>
      <c r="I691" s="82"/>
      <c r="J691" s="82"/>
      <c r="K691" s="16"/>
      <c r="L691" s="82" t="s">
        <v>1622</v>
      </c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"/>
    </row>
    <row r="692" spans="1:26" ht="15.75" customHeight="1">
      <c r="D692" s="82"/>
      <c r="E692" s="83" t="s">
        <v>1625</v>
      </c>
      <c r="F692" s="82"/>
      <c r="G692" s="82"/>
      <c r="H692" s="82"/>
      <c r="I692" s="82"/>
      <c r="J692" s="82"/>
      <c r="K692" s="82"/>
      <c r="L692" s="82" t="s">
        <v>1626</v>
      </c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"/>
    </row>
    <row r="693" spans="1:26" ht="15.75" customHeight="1">
      <c r="A693" s="212" t="s">
        <v>136</v>
      </c>
      <c r="B693" s="212"/>
      <c r="C693" s="22" t="s">
        <v>2616</v>
      </c>
      <c r="D693" s="54"/>
      <c r="E693" s="23" t="s">
        <v>1627</v>
      </c>
      <c r="F693" s="54"/>
      <c r="G693" s="16"/>
      <c r="H693" s="54"/>
      <c r="I693" s="54"/>
      <c r="J693" s="54"/>
      <c r="K693" s="54" t="s">
        <v>1617</v>
      </c>
      <c r="L693" s="54" t="s">
        <v>1618</v>
      </c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8"/>
    </row>
    <row r="694" spans="1:26" ht="15.75" customHeight="1">
      <c r="A694" s="21"/>
      <c r="B694" s="21"/>
      <c r="C694" s="22"/>
      <c r="D694" s="54"/>
      <c r="E694" s="23"/>
      <c r="F694" s="54"/>
      <c r="G694" s="16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8"/>
    </row>
    <row r="695" spans="1:26" ht="15.75" customHeight="1">
      <c r="A695" s="24"/>
      <c r="B695" s="24"/>
      <c r="C695" s="24"/>
      <c r="D695" s="205" t="s">
        <v>1599</v>
      </c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8"/>
    </row>
    <row r="696" spans="1:26" ht="15.75" customHeight="1">
      <c r="A696" s="206" t="s">
        <v>1</v>
      </c>
      <c r="B696" s="206" t="s">
        <v>2</v>
      </c>
      <c r="C696" s="206" t="s">
        <v>18</v>
      </c>
      <c r="D696" s="206" t="s">
        <v>137</v>
      </c>
      <c r="E696" s="213" t="s">
        <v>3</v>
      </c>
      <c r="F696" s="208" t="s">
        <v>4</v>
      </c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10"/>
      <c r="V696" s="208" t="s">
        <v>5</v>
      </c>
      <c r="W696" s="209"/>
      <c r="X696" s="210"/>
    </row>
    <row r="697" spans="1:26" ht="15.75" customHeight="1">
      <c r="A697" s="207"/>
      <c r="B697" s="207"/>
      <c r="C697" s="207"/>
      <c r="D697" s="207"/>
      <c r="E697" s="214"/>
      <c r="F697" s="91">
        <v>1</v>
      </c>
      <c r="G697" s="91">
        <v>2</v>
      </c>
      <c r="H697" s="91">
        <v>3</v>
      </c>
      <c r="I697" s="91">
        <v>4</v>
      </c>
      <c r="J697" s="91">
        <v>5</v>
      </c>
      <c r="K697" s="91">
        <v>6</v>
      </c>
      <c r="L697" s="91">
        <v>7</v>
      </c>
      <c r="M697" s="91">
        <v>8</v>
      </c>
      <c r="N697" s="91">
        <v>9</v>
      </c>
      <c r="O697" s="91">
        <v>10</v>
      </c>
      <c r="P697" s="91">
        <v>11</v>
      </c>
      <c r="Q697" s="91">
        <v>12</v>
      </c>
      <c r="R697" s="91">
        <v>13</v>
      </c>
      <c r="S697" s="91">
        <v>14</v>
      </c>
      <c r="T697" s="91">
        <v>15</v>
      </c>
      <c r="U697" s="91">
        <v>16</v>
      </c>
      <c r="V697" s="91" t="s">
        <v>6</v>
      </c>
      <c r="W697" s="91" t="s">
        <v>7</v>
      </c>
      <c r="X697" s="91" t="s">
        <v>8</v>
      </c>
      <c r="Y697" s="9"/>
      <c r="Z697" s="9"/>
    </row>
    <row r="698" spans="1:26" ht="15.75" customHeight="1">
      <c r="A698" s="48"/>
      <c r="B698" s="48"/>
      <c r="C698" s="48"/>
      <c r="D698" s="48"/>
      <c r="E698" s="49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"/>
      <c r="Z698" s="9"/>
    </row>
    <row r="699" spans="1:26" ht="15.75" customHeight="1">
      <c r="A699" s="92">
        <v>1</v>
      </c>
      <c r="B699" s="93"/>
      <c r="C699" s="93" t="s">
        <v>2202</v>
      </c>
      <c r="D699" s="81" t="s">
        <v>2203</v>
      </c>
      <c r="E699" s="87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"/>
      <c r="Z699" s="9"/>
    </row>
    <row r="700" spans="1:26" ht="15.75" customHeight="1">
      <c r="A700" s="92">
        <v>2</v>
      </c>
      <c r="B700" s="93"/>
      <c r="C700" s="93" t="s">
        <v>2204</v>
      </c>
      <c r="D700" s="81" t="s">
        <v>2205</v>
      </c>
      <c r="E700" s="87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"/>
      <c r="Z700" s="9"/>
    </row>
    <row r="701" spans="1:26" ht="15.75" customHeight="1">
      <c r="A701" s="92">
        <v>3</v>
      </c>
      <c r="B701" s="93"/>
      <c r="C701" s="93" t="s">
        <v>2206</v>
      </c>
      <c r="D701" s="81" t="s">
        <v>2207</v>
      </c>
      <c r="E701" s="87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"/>
      <c r="Z701" s="9"/>
    </row>
    <row r="702" spans="1:26" ht="15.75" customHeight="1">
      <c r="A702" s="92">
        <v>4</v>
      </c>
      <c r="B702" s="93"/>
      <c r="C702" s="93" t="s">
        <v>2208</v>
      </c>
      <c r="D702" s="81" t="s">
        <v>2209</v>
      </c>
      <c r="E702" s="87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"/>
      <c r="Z702" s="9"/>
    </row>
    <row r="703" spans="1:26" ht="15.75" customHeight="1">
      <c r="A703" s="92">
        <v>5</v>
      </c>
      <c r="B703" s="93"/>
      <c r="C703" s="93" t="s">
        <v>2210</v>
      </c>
      <c r="D703" s="81" t="s">
        <v>2211</v>
      </c>
      <c r="E703" s="87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"/>
      <c r="Z703" s="9"/>
    </row>
    <row r="704" spans="1:26" ht="15.75" customHeight="1">
      <c r="A704" s="92">
        <v>6</v>
      </c>
      <c r="B704" s="93"/>
      <c r="C704" s="93" t="s">
        <v>2212</v>
      </c>
      <c r="D704" s="81" t="s">
        <v>2213</v>
      </c>
      <c r="E704" s="87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"/>
      <c r="Z704" s="9"/>
    </row>
    <row r="705" spans="1:26" ht="15.75" customHeight="1">
      <c r="A705" s="92">
        <v>7</v>
      </c>
      <c r="B705" s="93"/>
      <c r="C705" s="93" t="s">
        <v>2214</v>
      </c>
      <c r="D705" s="81" t="s">
        <v>2215</v>
      </c>
      <c r="E705" s="87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"/>
      <c r="Z705" s="9"/>
    </row>
    <row r="706" spans="1:26" ht="15.75" customHeight="1">
      <c r="A706" s="92">
        <v>8</v>
      </c>
      <c r="B706" s="93"/>
      <c r="C706" s="93" t="s">
        <v>2216</v>
      </c>
      <c r="D706" s="81" t="s">
        <v>2217</v>
      </c>
      <c r="E706" s="87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"/>
      <c r="Z706" s="9"/>
    </row>
    <row r="707" spans="1:26" ht="15.75" customHeight="1">
      <c r="A707" s="92">
        <v>9</v>
      </c>
      <c r="B707" s="93"/>
      <c r="C707" s="93" t="s">
        <v>2218</v>
      </c>
      <c r="D707" s="81" t="s">
        <v>2219</v>
      </c>
      <c r="E707" s="87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"/>
      <c r="Z707" s="9"/>
    </row>
    <row r="708" spans="1:26" ht="15.75" customHeight="1">
      <c r="A708" s="92">
        <v>10</v>
      </c>
      <c r="B708" s="93"/>
      <c r="C708" s="93" t="s">
        <v>2220</v>
      </c>
      <c r="D708" s="81" t="s">
        <v>2221</v>
      </c>
      <c r="E708" s="87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"/>
      <c r="Z708" s="9"/>
    </row>
    <row r="709" spans="1:26" ht="15.75" customHeight="1">
      <c r="A709" s="92">
        <v>11</v>
      </c>
      <c r="B709" s="93"/>
      <c r="C709" s="93" t="s">
        <v>2222</v>
      </c>
      <c r="D709" s="81" t="s">
        <v>2223</v>
      </c>
      <c r="E709" s="87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"/>
      <c r="Z709" s="9"/>
    </row>
    <row r="710" spans="1:26" ht="15.75" customHeight="1">
      <c r="A710" s="92">
        <v>12</v>
      </c>
      <c r="B710" s="93"/>
      <c r="C710" s="93" t="s">
        <v>2224</v>
      </c>
      <c r="D710" s="81" t="s">
        <v>2225</v>
      </c>
      <c r="E710" s="87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"/>
      <c r="Z710" s="9"/>
    </row>
    <row r="711" spans="1:26" ht="15.75" customHeight="1">
      <c r="A711" s="92">
        <v>13</v>
      </c>
      <c r="B711" s="93"/>
      <c r="C711" s="93" t="s">
        <v>2226</v>
      </c>
      <c r="D711" s="81" t="s">
        <v>2227</v>
      </c>
      <c r="E711" s="87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"/>
      <c r="Z711" s="9"/>
    </row>
    <row r="712" spans="1:26" ht="15.75" customHeight="1">
      <c r="A712" s="92">
        <v>14</v>
      </c>
      <c r="B712" s="93"/>
      <c r="C712" s="93" t="s">
        <v>2228</v>
      </c>
      <c r="D712" s="81" t="s">
        <v>2229</v>
      </c>
      <c r="E712" s="87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"/>
      <c r="Z712" s="9"/>
    </row>
    <row r="713" spans="1:26" ht="15.75" customHeight="1">
      <c r="A713" s="92">
        <v>15</v>
      </c>
      <c r="B713" s="93"/>
      <c r="C713" s="93" t="s">
        <v>2230</v>
      </c>
      <c r="D713" s="81" t="s">
        <v>2231</v>
      </c>
      <c r="E713" s="87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"/>
      <c r="Z713" s="9"/>
    </row>
    <row r="714" spans="1:26" ht="15.75" customHeight="1">
      <c r="A714" s="92">
        <v>16</v>
      </c>
      <c r="B714" s="93"/>
      <c r="C714" s="93" t="s">
        <v>2232</v>
      </c>
      <c r="D714" s="81" t="s">
        <v>2233</v>
      </c>
      <c r="E714" s="87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"/>
      <c r="Z714" s="9"/>
    </row>
    <row r="715" spans="1:26" ht="15.75" customHeight="1">
      <c r="A715" s="92">
        <v>17</v>
      </c>
      <c r="B715" s="93"/>
      <c r="C715" s="93" t="s">
        <v>2234</v>
      </c>
      <c r="D715" s="81" t="s">
        <v>2235</v>
      </c>
      <c r="E715" s="87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"/>
      <c r="Z715" s="9"/>
    </row>
    <row r="716" spans="1:26" ht="15.75" customHeight="1">
      <c r="A716" s="92">
        <v>18</v>
      </c>
      <c r="B716" s="93"/>
      <c r="C716" s="93" t="s">
        <v>2236</v>
      </c>
      <c r="D716" s="81" t="s">
        <v>2237</v>
      </c>
      <c r="E716" s="87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"/>
      <c r="Z716" s="9"/>
    </row>
    <row r="717" spans="1:26" ht="15.75" customHeight="1">
      <c r="A717" s="92">
        <v>19</v>
      </c>
      <c r="B717" s="93"/>
      <c r="C717" s="93" t="s">
        <v>2238</v>
      </c>
      <c r="D717" s="81" t="s">
        <v>2239</v>
      </c>
      <c r="E717" s="87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"/>
      <c r="Z717" s="9"/>
    </row>
    <row r="718" spans="1:26" ht="15.75" customHeight="1">
      <c r="A718" s="92">
        <v>20</v>
      </c>
      <c r="B718" s="93"/>
      <c r="C718" s="93" t="s">
        <v>2240</v>
      </c>
      <c r="D718" s="81" t="s">
        <v>2241</v>
      </c>
      <c r="E718" s="87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"/>
      <c r="Z718" s="9"/>
    </row>
    <row r="719" spans="1:26" ht="15.75" customHeight="1">
      <c r="A719" s="92">
        <v>21</v>
      </c>
      <c r="B719" s="93"/>
      <c r="C719" s="93" t="s">
        <v>2242</v>
      </c>
      <c r="D719" s="81" t="s">
        <v>2243</v>
      </c>
      <c r="E719" s="87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"/>
      <c r="Z719" s="9"/>
    </row>
    <row r="720" spans="1:26" ht="15.75" customHeight="1">
      <c r="A720" s="92">
        <v>22</v>
      </c>
      <c r="B720" s="93"/>
      <c r="C720" s="93" t="s">
        <v>2244</v>
      </c>
      <c r="D720" s="81" t="s">
        <v>2245</v>
      </c>
      <c r="E720" s="87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"/>
      <c r="Z720" s="9"/>
    </row>
    <row r="721" spans="1:26" ht="15.75" customHeight="1">
      <c r="A721" s="92">
        <v>23</v>
      </c>
      <c r="B721" s="93"/>
      <c r="C721" s="93" t="s">
        <v>2246</v>
      </c>
      <c r="D721" s="81" t="s">
        <v>2247</v>
      </c>
      <c r="E721" s="87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"/>
      <c r="Z721" s="9"/>
    </row>
    <row r="722" spans="1:26" ht="15.75" customHeight="1">
      <c r="A722" s="92">
        <v>24</v>
      </c>
      <c r="B722" s="93"/>
      <c r="C722" s="93" t="s">
        <v>2248</v>
      </c>
      <c r="D722" s="81" t="s">
        <v>2249</v>
      </c>
      <c r="E722" s="87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"/>
      <c r="Z722" s="9"/>
    </row>
    <row r="723" spans="1:26" ht="15.75" customHeight="1">
      <c r="A723" s="92">
        <v>25</v>
      </c>
      <c r="B723" s="93"/>
      <c r="C723" s="93" t="s">
        <v>2250</v>
      </c>
      <c r="D723" s="81" t="s">
        <v>2251</v>
      </c>
      <c r="E723" s="87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"/>
      <c r="Z723" s="9"/>
    </row>
    <row r="724" spans="1:26" ht="15.75" customHeight="1">
      <c r="A724" s="92">
        <v>26</v>
      </c>
      <c r="B724" s="93"/>
      <c r="C724" s="93" t="s">
        <v>2252</v>
      </c>
      <c r="D724" s="81" t="s">
        <v>2253</v>
      </c>
      <c r="E724" s="87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"/>
      <c r="Z724" s="9"/>
    </row>
    <row r="725" spans="1:26" ht="15.75" customHeight="1">
      <c r="A725" s="92">
        <v>27</v>
      </c>
      <c r="B725" s="93"/>
      <c r="C725" s="93" t="s">
        <v>2254</v>
      </c>
      <c r="D725" s="81" t="s">
        <v>2255</v>
      </c>
      <c r="E725" s="87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"/>
      <c r="Z725" s="9"/>
    </row>
    <row r="726" spans="1:26" ht="15.75" customHeight="1">
      <c r="A726" s="92">
        <v>28</v>
      </c>
      <c r="B726" s="93"/>
      <c r="C726" s="93" t="s">
        <v>2256</v>
      </c>
      <c r="D726" s="81" t="s">
        <v>2257</v>
      </c>
      <c r="E726" s="87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"/>
      <c r="Z726" s="9"/>
    </row>
    <row r="727" spans="1:26" ht="15.75" customHeight="1">
      <c r="A727" s="92">
        <v>29</v>
      </c>
      <c r="B727" s="93"/>
      <c r="C727" s="93" t="s">
        <v>2258</v>
      </c>
      <c r="D727" s="81" t="s">
        <v>2259</v>
      </c>
      <c r="E727" s="87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"/>
      <c r="Z727" s="9"/>
    </row>
    <row r="728" spans="1:26" ht="15.75" customHeight="1">
      <c r="A728" s="92">
        <v>30</v>
      </c>
      <c r="B728" s="93"/>
      <c r="C728" s="93" t="s">
        <v>2260</v>
      </c>
      <c r="D728" s="81" t="s">
        <v>2261</v>
      </c>
      <c r="E728" s="87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"/>
      <c r="Z728" s="9"/>
    </row>
    <row r="729" spans="1:26" ht="15.75" customHeight="1">
      <c r="A729" s="92">
        <v>31</v>
      </c>
      <c r="B729" s="93"/>
      <c r="C729" s="93" t="s">
        <v>2262</v>
      </c>
      <c r="D729" s="81" t="s">
        <v>2263</v>
      </c>
      <c r="E729" s="87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</row>
    <row r="730" spans="1:26" ht="15.75" customHeight="1">
      <c r="A730" s="92">
        <v>32</v>
      </c>
      <c r="B730" s="93"/>
      <c r="C730" s="93" t="s">
        <v>2264</v>
      </c>
      <c r="D730" s="81" t="s">
        <v>2265</v>
      </c>
      <c r="E730" s="87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</row>
    <row r="731" spans="1:26" ht="15.75" customHeight="1">
      <c r="A731" s="92">
        <v>33</v>
      </c>
      <c r="B731" s="93"/>
      <c r="C731" s="93" t="s">
        <v>2266</v>
      </c>
      <c r="D731" s="81" t="s">
        <v>2267</v>
      </c>
      <c r="E731" s="87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</row>
    <row r="732" spans="1:26" ht="15.75" customHeight="1">
      <c r="A732" s="92">
        <v>34</v>
      </c>
      <c r="B732" s="93"/>
      <c r="C732" s="93"/>
      <c r="D732" s="81"/>
      <c r="E732" s="87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</row>
    <row r="733" spans="1:26" ht="15.75" customHeight="1">
      <c r="A733" s="92">
        <v>35</v>
      </c>
      <c r="B733" s="93"/>
      <c r="C733" s="93"/>
      <c r="D733" s="81"/>
      <c r="E733" s="87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</row>
    <row r="734" spans="1:26" ht="15.75" customHeight="1">
      <c r="A734" s="92">
        <v>36</v>
      </c>
      <c r="B734" s="93"/>
      <c r="C734" s="93"/>
      <c r="D734" s="81"/>
      <c r="E734" s="87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</row>
    <row r="735" spans="1:26" ht="15.75" customHeight="1">
      <c r="A735" s="92">
        <v>37</v>
      </c>
      <c r="B735" s="93"/>
      <c r="C735" s="93"/>
      <c r="D735" s="81"/>
      <c r="E735" s="87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</row>
    <row r="736" spans="1:26" ht="15.75" customHeight="1">
      <c r="A736" s="92">
        <v>38</v>
      </c>
      <c r="B736" s="93"/>
      <c r="C736" s="93"/>
      <c r="D736" s="81"/>
      <c r="E736" s="87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</row>
    <row r="737" spans="1:25" ht="15.75" customHeight="1">
      <c r="A737" s="77"/>
      <c r="B737" s="79"/>
      <c r="C737" s="79"/>
      <c r="D737" s="66"/>
      <c r="E737" s="10"/>
    </row>
    <row r="738" spans="1:25">
      <c r="A738" s="3"/>
      <c r="B738" s="3"/>
      <c r="C738" s="3"/>
      <c r="D738" s="3" t="s">
        <v>864</v>
      </c>
      <c r="E738" s="10">
        <f>SUM(E739:E740)</f>
        <v>0</v>
      </c>
      <c r="G738" s="7"/>
      <c r="H738" s="7"/>
    </row>
    <row r="739" spans="1:25">
      <c r="A739" s="3"/>
      <c r="B739" s="3"/>
      <c r="C739" s="3"/>
      <c r="D739" s="43" t="s">
        <v>10</v>
      </c>
      <c r="E739" s="41">
        <f>COUNTIF(E699:E736,"L")</f>
        <v>0</v>
      </c>
      <c r="G739" s="2"/>
    </row>
    <row r="740" spans="1:25">
      <c r="A740" s="3"/>
      <c r="B740" s="3"/>
      <c r="C740" s="3"/>
      <c r="D740" s="43" t="s">
        <v>11</v>
      </c>
      <c r="E740" s="41">
        <f>COUNTIF(E699:E734,"P")</f>
        <v>0</v>
      </c>
      <c r="G740" s="2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1"/>
      <c r="S740" s="2"/>
      <c r="T740" s="2"/>
      <c r="U740" s="2"/>
      <c r="V740" s="2"/>
      <c r="W740" s="2"/>
      <c r="X740" s="3"/>
      <c r="Y740" s="2"/>
    </row>
    <row r="741" spans="1:25">
      <c r="A741" s="1" t="s">
        <v>12</v>
      </c>
      <c r="B741" s="1"/>
      <c r="C741" s="1"/>
      <c r="E741" s="1"/>
      <c r="F741" s="2"/>
      <c r="G741" s="2"/>
      <c r="H741" s="2"/>
      <c r="I741" s="3"/>
      <c r="J741" s="3"/>
      <c r="K741" s="3"/>
      <c r="L741" s="3"/>
      <c r="M741" s="3"/>
      <c r="N741" s="3"/>
      <c r="O741" s="3"/>
      <c r="P741" s="1" t="s">
        <v>1605</v>
      </c>
      <c r="Q741" s="2"/>
      <c r="T741" s="2"/>
      <c r="U741" s="2"/>
      <c r="V741" s="2"/>
      <c r="W741" s="2"/>
      <c r="X741" s="3"/>
      <c r="Y741" s="2"/>
    </row>
    <row r="742" spans="1:25">
      <c r="A742" s="1" t="s">
        <v>13</v>
      </c>
      <c r="B742" s="1"/>
      <c r="C742" s="1"/>
      <c r="E742" s="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1" t="s">
        <v>14</v>
      </c>
      <c r="Q742" s="3"/>
      <c r="S742" s="2"/>
      <c r="T742" s="2"/>
      <c r="U742" s="2"/>
      <c r="V742" s="2"/>
      <c r="W742" s="2"/>
      <c r="X742" s="3"/>
      <c r="Y742" s="2"/>
    </row>
    <row r="743" spans="1:25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"/>
      <c r="Q743" s="3"/>
      <c r="S743" s="2"/>
      <c r="T743" s="2"/>
      <c r="U743" s="2"/>
      <c r="V743" s="2"/>
      <c r="W743" s="2"/>
      <c r="X743" s="3"/>
      <c r="Y743" s="2"/>
    </row>
    <row r="744" spans="1:25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S744" s="2"/>
      <c r="T744" s="2"/>
      <c r="U744" s="2"/>
      <c r="V744" s="2"/>
      <c r="W744" s="2"/>
      <c r="X744" s="2"/>
      <c r="Y744" s="2"/>
    </row>
    <row r="745" spans="1:25" ht="15.75">
      <c r="A745" s="8" t="s">
        <v>854</v>
      </c>
      <c r="B745" s="8"/>
      <c r="C745" s="8"/>
      <c r="D745" s="8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8" t="s">
        <v>16</v>
      </c>
      <c r="Q745" s="8"/>
      <c r="S745" s="2"/>
      <c r="T745" s="9"/>
      <c r="U745" s="9"/>
      <c r="V745" s="9"/>
      <c r="W745" s="9"/>
      <c r="X745" s="9"/>
      <c r="Y745" s="9"/>
    </row>
    <row r="746" spans="1:25" ht="15.75">
      <c r="A746" s="8" t="s">
        <v>855</v>
      </c>
      <c r="B746" s="8"/>
      <c r="C746" s="8"/>
      <c r="D746" s="8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8" t="s">
        <v>17</v>
      </c>
      <c r="Q746" s="2"/>
      <c r="T746" s="9"/>
      <c r="U746" s="9"/>
      <c r="V746" s="9"/>
    </row>
    <row r="747" spans="1:25" ht="15.7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 spans="1:25" ht="15.7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 spans="1:25" ht="15.7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 spans="1:25" ht="15.7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 spans="1:25" ht="15.7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 spans="1:25" ht="15.7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 spans="1:25" ht="15.7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 spans="1:25" ht="15.7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 spans="1:25" ht="15.7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 spans="1:25" ht="15.7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 spans="1:25" ht="15.7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 spans="1:25" ht="15.7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 spans="1:25" ht="15.7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 spans="1:25" ht="15.7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 spans="1:25" ht="15.7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 spans="1:25" ht="15.7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 spans="1:25" ht="15.75" customHeight="1"/>
    <row r="764" spans="1:25" ht="15.75" customHeight="1"/>
    <row r="765" spans="1:25" ht="15.75" customHeight="1"/>
    <row r="766" spans="1:25" ht="15.75" customHeight="1"/>
    <row r="767" spans="1:25" ht="15.75" customHeight="1"/>
    <row r="768" spans="1:25" ht="15.75" customHeight="1"/>
    <row r="769" spans="1:26" ht="15.75" customHeight="1"/>
    <row r="770" spans="1:26" ht="15.75" customHeight="1"/>
    <row r="771" spans="1:26" ht="15.75" customHeight="1">
      <c r="A771" s="211" t="s">
        <v>132</v>
      </c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</row>
    <row r="772" spans="1:26" ht="15.75" customHeight="1">
      <c r="A772" s="211" t="s">
        <v>0</v>
      </c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8"/>
      <c r="Z772" s="8"/>
    </row>
    <row r="773" spans="1:26" ht="15.75" customHeight="1">
      <c r="Y773" s="8"/>
      <c r="Z773" s="8"/>
    </row>
    <row r="774" spans="1:26" ht="15.75" customHeight="1">
      <c r="A774" s="21" t="s">
        <v>133</v>
      </c>
      <c r="B774" s="21"/>
      <c r="C774" s="22" t="s">
        <v>2268</v>
      </c>
      <c r="D774" s="23"/>
      <c r="E774" s="23" t="s">
        <v>1623</v>
      </c>
      <c r="F774" s="54"/>
      <c r="G774" s="54"/>
      <c r="H774" s="54"/>
      <c r="I774" s="54"/>
      <c r="J774" s="54"/>
      <c r="K774" s="54"/>
      <c r="L774" s="54" t="s">
        <v>1624</v>
      </c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8"/>
    </row>
    <row r="775" spans="1:26" ht="15.75" customHeight="1">
      <c r="A775" s="205" t="s">
        <v>134</v>
      </c>
      <c r="B775" s="205"/>
      <c r="C775" s="15" t="s">
        <v>21</v>
      </c>
      <c r="D775" s="82"/>
      <c r="E775" s="14" t="s">
        <v>1621</v>
      </c>
      <c r="F775" s="82"/>
      <c r="G775" s="82"/>
      <c r="H775" s="82"/>
      <c r="I775" s="82"/>
      <c r="J775" s="82"/>
      <c r="K775" s="16"/>
      <c r="L775" s="82" t="s">
        <v>1622</v>
      </c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"/>
    </row>
    <row r="776" spans="1:26" ht="15.75" customHeight="1">
      <c r="D776" s="82"/>
      <c r="E776" s="83" t="s">
        <v>1625</v>
      </c>
      <c r="F776" s="82"/>
      <c r="G776" s="82"/>
      <c r="H776" s="82"/>
      <c r="I776" s="82"/>
      <c r="J776" s="82"/>
      <c r="K776" s="82"/>
      <c r="L776" s="82" t="s">
        <v>1626</v>
      </c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"/>
    </row>
    <row r="777" spans="1:26" ht="15.75" customHeight="1">
      <c r="A777" s="212" t="s">
        <v>136</v>
      </c>
      <c r="B777" s="212"/>
      <c r="C777" s="22" t="s">
        <v>2617</v>
      </c>
      <c r="D777" s="54"/>
      <c r="E777" s="23" t="s">
        <v>1627</v>
      </c>
      <c r="F777" s="54"/>
      <c r="G777" s="16"/>
      <c r="H777" s="54"/>
      <c r="I777" s="54"/>
      <c r="J777" s="54"/>
      <c r="K777" s="54" t="s">
        <v>1617</v>
      </c>
      <c r="L777" s="54" t="s">
        <v>1618</v>
      </c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8"/>
    </row>
    <row r="778" spans="1:26" ht="15.75" customHeight="1">
      <c r="A778" s="21"/>
      <c r="B778" s="21"/>
      <c r="C778" s="22"/>
      <c r="D778" s="54"/>
      <c r="E778" s="23"/>
      <c r="F778" s="54"/>
      <c r="G778" s="16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8"/>
    </row>
    <row r="779" spans="1:26" ht="15.75" customHeight="1">
      <c r="A779" s="24"/>
      <c r="B779" s="24"/>
      <c r="C779" s="24"/>
      <c r="D779" s="205" t="s">
        <v>1599</v>
      </c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8"/>
    </row>
    <row r="780" spans="1:26" ht="15.75" customHeight="1">
      <c r="A780" s="206" t="s">
        <v>1</v>
      </c>
      <c r="B780" s="206" t="s">
        <v>2</v>
      </c>
      <c r="C780" s="206" t="s">
        <v>18</v>
      </c>
      <c r="D780" s="206" t="s">
        <v>137</v>
      </c>
      <c r="E780" s="213" t="s">
        <v>3</v>
      </c>
      <c r="F780" s="208" t="s">
        <v>4</v>
      </c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10"/>
      <c r="V780" s="208" t="s">
        <v>5</v>
      </c>
      <c r="W780" s="209"/>
      <c r="X780" s="210"/>
    </row>
    <row r="781" spans="1:26" ht="15.75" customHeight="1">
      <c r="A781" s="207"/>
      <c r="B781" s="207"/>
      <c r="C781" s="207"/>
      <c r="D781" s="207"/>
      <c r="E781" s="214"/>
      <c r="F781" s="91">
        <v>1</v>
      </c>
      <c r="G781" s="91">
        <v>2</v>
      </c>
      <c r="H781" s="91">
        <v>3</v>
      </c>
      <c r="I781" s="91">
        <v>4</v>
      </c>
      <c r="J781" s="91">
        <v>5</v>
      </c>
      <c r="K781" s="91">
        <v>6</v>
      </c>
      <c r="L781" s="91">
        <v>7</v>
      </c>
      <c r="M781" s="91">
        <v>8</v>
      </c>
      <c r="N781" s="91">
        <v>9</v>
      </c>
      <c r="O781" s="91">
        <v>10</v>
      </c>
      <c r="P781" s="91">
        <v>11</v>
      </c>
      <c r="Q781" s="91">
        <v>12</v>
      </c>
      <c r="R781" s="91">
        <v>13</v>
      </c>
      <c r="S781" s="91">
        <v>14</v>
      </c>
      <c r="T781" s="91">
        <v>15</v>
      </c>
      <c r="U781" s="91">
        <v>16</v>
      </c>
      <c r="V781" s="91" t="s">
        <v>6</v>
      </c>
      <c r="W781" s="91" t="s">
        <v>7</v>
      </c>
      <c r="X781" s="91" t="s">
        <v>8</v>
      </c>
      <c r="Y781" s="9"/>
      <c r="Z781" s="9"/>
    </row>
    <row r="782" spans="1:26" ht="15.75" customHeight="1">
      <c r="A782" s="48"/>
      <c r="B782" s="48"/>
      <c r="C782" s="48"/>
      <c r="D782" s="48"/>
      <c r="E782" s="49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"/>
      <c r="Z782" s="9"/>
    </row>
    <row r="783" spans="1:26" ht="15.75" customHeight="1">
      <c r="A783" s="92">
        <v>1</v>
      </c>
      <c r="B783" s="93"/>
      <c r="C783" s="93" t="s">
        <v>2269</v>
      </c>
      <c r="D783" s="81" t="s">
        <v>2270</v>
      </c>
      <c r="E783" s="87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"/>
      <c r="Z783" s="9"/>
    </row>
    <row r="784" spans="1:26" ht="15.75" customHeight="1">
      <c r="A784" s="92">
        <v>2</v>
      </c>
      <c r="B784" s="93"/>
      <c r="C784" s="93" t="s">
        <v>2271</v>
      </c>
      <c r="D784" s="81" t="s">
        <v>2272</v>
      </c>
      <c r="E784" s="87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"/>
      <c r="Z784" s="9"/>
    </row>
    <row r="785" spans="1:26" ht="15.75" customHeight="1">
      <c r="A785" s="92">
        <v>3</v>
      </c>
      <c r="B785" s="93"/>
      <c r="C785" s="93" t="s">
        <v>2273</v>
      </c>
      <c r="D785" s="81" t="s">
        <v>2274</v>
      </c>
      <c r="E785" s="87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"/>
      <c r="Z785" s="9"/>
    </row>
    <row r="786" spans="1:26" ht="15.75" customHeight="1">
      <c r="A786" s="92">
        <v>4</v>
      </c>
      <c r="B786" s="93"/>
      <c r="C786" s="93" t="s">
        <v>2275</v>
      </c>
      <c r="D786" s="81" t="s">
        <v>2276</v>
      </c>
      <c r="E786" s="87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"/>
      <c r="Z786" s="9"/>
    </row>
    <row r="787" spans="1:26" ht="15.75" customHeight="1">
      <c r="A787" s="92">
        <v>5</v>
      </c>
      <c r="B787" s="93"/>
      <c r="C787" s="93" t="s">
        <v>2277</v>
      </c>
      <c r="D787" s="81" t="s">
        <v>2278</v>
      </c>
      <c r="E787" s="87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"/>
      <c r="Z787" s="9"/>
    </row>
    <row r="788" spans="1:26" ht="15.75" customHeight="1">
      <c r="A788" s="92">
        <v>6</v>
      </c>
      <c r="B788" s="93"/>
      <c r="C788" s="93" t="s">
        <v>2279</v>
      </c>
      <c r="D788" s="81" t="s">
        <v>2280</v>
      </c>
      <c r="E788" s="87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"/>
      <c r="Z788" s="9"/>
    </row>
    <row r="789" spans="1:26" ht="15.75" customHeight="1">
      <c r="A789" s="92">
        <v>7</v>
      </c>
      <c r="B789" s="93"/>
      <c r="C789" s="93" t="s">
        <v>2281</v>
      </c>
      <c r="D789" s="81" t="s">
        <v>2282</v>
      </c>
      <c r="E789" s="87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"/>
      <c r="Z789" s="9"/>
    </row>
    <row r="790" spans="1:26" ht="15.75" customHeight="1">
      <c r="A790" s="92">
        <v>8</v>
      </c>
      <c r="B790" s="93"/>
      <c r="C790" s="93" t="s">
        <v>2283</v>
      </c>
      <c r="D790" s="81" t="s">
        <v>2284</v>
      </c>
      <c r="E790" s="87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"/>
      <c r="Z790" s="9"/>
    </row>
    <row r="791" spans="1:26" ht="15.75" customHeight="1">
      <c r="A791" s="92">
        <v>9</v>
      </c>
      <c r="B791" s="93"/>
      <c r="C791" s="93" t="s">
        <v>2285</v>
      </c>
      <c r="D791" s="81" t="s">
        <v>2286</v>
      </c>
      <c r="E791" s="87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"/>
      <c r="Z791" s="9"/>
    </row>
    <row r="792" spans="1:26" ht="15.75" customHeight="1">
      <c r="A792" s="92">
        <v>10</v>
      </c>
      <c r="B792" s="93"/>
      <c r="C792" s="93" t="s">
        <v>2287</v>
      </c>
      <c r="D792" s="81" t="s">
        <v>2288</v>
      </c>
      <c r="E792" s="87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"/>
      <c r="Z792" s="9"/>
    </row>
    <row r="793" spans="1:26" ht="15.75" customHeight="1">
      <c r="A793" s="92">
        <v>11</v>
      </c>
      <c r="B793" s="93"/>
      <c r="C793" s="93" t="s">
        <v>2289</v>
      </c>
      <c r="D793" s="81" t="s">
        <v>2290</v>
      </c>
      <c r="E793" s="87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"/>
      <c r="Z793" s="9"/>
    </row>
    <row r="794" spans="1:26" ht="15.75" customHeight="1">
      <c r="A794" s="92">
        <v>12</v>
      </c>
      <c r="B794" s="93"/>
      <c r="C794" s="93" t="s">
        <v>2291</v>
      </c>
      <c r="D794" s="81" t="s">
        <v>2292</v>
      </c>
      <c r="E794" s="87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"/>
      <c r="Z794" s="9"/>
    </row>
    <row r="795" spans="1:26" ht="15.75" customHeight="1">
      <c r="A795" s="92">
        <v>13</v>
      </c>
      <c r="B795" s="93"/>
      <c r="C795" s="93" t="s">
        <v>2293</v>
      </c>
      <c r="D795" s="81" t="s">
        <v>2294</v>
      </c>
      <c r="E795" s="87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"/>
      <c r="Z795" s="9"/>
    </row>
    <row r="796" spans="1:26" ht="15.75" customHeight="1">
      <c r="A796" s="92">
        <v>14</v>
      </c>
      <c r="B796" s="93"/>
      <c r="C796" s="93" t="s">
        <v>2295</v>
      </c>
      <c r="D796" s="81" t="s">
        <v>2296</v>
      </c>
      <c r="E796" s="87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"/>
      <c r="Z796" s="9"/>
    </row>
    <row r="797" spans="1:26" ht="15.75" customHeight="1">
      <c r="A797" s="92">
        <v>15</v>
      </c>
      <c r="B797" s="93"/>
      <c r="C797" s="93" t="s">
        <v>2297</v>
      </c>
      <c r="D797" s="81" t="s">
        <v>2298</v>
      </c>
      <c r="E797" s="87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"/>
      <c r="Z797" s="9"/>
    </row>
    <row r="798" spans="1:26" ht="15.75" customHeight="1">
      <c r="A798" s="92">
        <v>16</v>
      </c>
      <c r="B798" s="93"/>
      <c r="C798" s="93" t="s">
        <v>2299</v>
      </c>
      <c r="D798" s="81" t="s">
        <v>2300</v>
      </c>
      <c r="E798" s="87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"/>
      <c r="Z798" s="9"/>
    </row>
    <row r="799" spans="1:26" ht="15.75" customHeight="1">
      <c r="A799" s="92">
        <v>17</v>
      </c>
      <c r="B799" s="93"/>
      <c r="C799" s="93" t="s">
        <v>2301</v>
      </c>
      <c r="D799" s="81" t="s">
        <v>2302</v>
      </c>
      <c r="E799" s="87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"/>
      <c r="Z799" s="9"/>
    </row>
    <row r="800" spans="1:26" ht="15.75" customHeight="1">
      <c r="A800" s="92">
        <v>18</v>
      </c>
      <c r="B800" s="93"/>
      <c r="C800" s="93" t="s">
        <v>2303</v>
      </c>
      <c r="D800" s="81" t="s">
        <v>2304</v>
      </c>
      <c r="E800" s="87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"/>
      <c r="Z800" s="9"/>
    </row>
    <row r="801" spans="1:26" ht="15.75" customHeight="1">
      <c r="A801" s="92">
        <v>19</v>
      </c>
      <c r="B801" s="93"/>
      <c r="C801" s="93" t="s">
        <v>2305</v>
      </c>
      <c r="D801" s="81" t="s">
        <v>2306</v>
      </c>
      <c r="E801" s="87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"/>
      <c r="Z801" s="9"/>
    </row>
    <row r="802" spans="1:26" ht="15.75" customHeight="1">
      <c r="A802" s="92">
        <v>20</v>
      </c>
      <c r="B802" s="93"/>
      <c r="C802" s="93" t="s">
        <v>2307</v>
      </c>
      <c r="D802" s="81" t="s">
        <v>2308</v>
      </c>
      <c r="E802" s="87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"/>
      <c r="Z802" s="9"/>
    </row>
    <row r="803" spans="1:26" ht="15.75" customHeight="1">
      <c r="A803" s="92">
        <v>21</v>
      </c>
      <c r="B803" s="93"/>
      <c r="C803" s="93" t="s">
        <v>2309</v>
      </c>
      <c r="D803" s="81" t="s">
        <v>2310</v>
      </c>
      <c r="E803" s="87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"/>
      <c r="Z803" s="9"/>
    </row>
    <row r="804" spans="1:26" ht="15.75" customHeight="1">
      <c r="A804" s="92">
        <v>22</v>
      </c>
      <c r="B804" s="93"/>
      <c r="C804" s="93" t="s">
        <v>2311</v>
      </c>
      <c r="D804" s="81" t="s">
        <v>2312</v>
      </c>
      <c r="E804" s="87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"/>
      <c r="Z804" s="9"/>
    </row>
    <row r="805" spans="1:26" ht="15.75" customHeight="1">
      <c r="A805" s="92">
        <v>23</v>
      </c>
      <c r="B805" s="93"/>
      <c r="C805" s="93" t="s">
        <v>2313</v>
      </c>
      <c r="D805" s="81" t="s">
        <v>2314</v>
      </c>
      <c r="E805" s="87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"/>
      <c r="Z805" s="9"/>
    </row>
    <row r="806" spans="1:26" ht="15.75" customHeight="1">
      <c r="A806" s="92">
        <v>24</v>
      </c>
      <c r="B806" s="93"/>
      <c r="C806" s="93" t="s">
        <v>2315</v>
      </c>
      <c r="D806" s="81" t="s">
        <v>2316</v>
      </c>
      <c r="E806" s="87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"/>
      <c r="Z806" s="9"/>
    </row>
    <row r="807" spans="1:26" ht="15.75" customHeight="1">
      <c r="A807" s="92">
        <v>25</v>
      </c>
      <c r="B807" s="93"/>
      <c r="C807" s="93" t="s">
        <v>2317</v>
      </c>
      <c r="D807" s="81" t="s">
        <v>2318</v>
      </c>
      <c r="E807" s="87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"/>
      <c r="Z807" s="9"/>
    </row>
    <row r="808" spans="1:26" ht="15.75" customHeight="1">
      <c r="A808" s="92">
        <v>26</v>
      </c>
      <c r="B808" s="93"/>
      <c r="C808" s="93" t="s">
        <v>2319</v>
      </c>
      <c r="D808" s="81" t="s">
        <v>2320</v>
      </c>
      <c r="E808" s="87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"/>
      <c r="Z808" s="9"/>
    </row>
    <row r="809" spans="1:26" ht="15.75" customHeight="1">
      <c r="A809" s="92">
        <v>27</v>
      </c>
      <c r="B809" s="93"/>
      <c r="C809" s="93" t="s">
        <v>2321</v>
      </c>
      <c r="D809" s="81" t="s">
        <v>2322</v>
      </c>
      <c r="E809" s="87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"/>
      <c r="Z809" s="9"/>
    </row>
    <row r="810" spans="1:26" ht="15.75" customHeight="1">
      <c r="A810" s="92">
        <v>28</v>
      </c>
      <c r="B810" s="93"/>
      <c r="C810" s="93" t="s">
        <v>2323</v>
      </c>
      <c r="D810" s="81" t="s">
        <v>2324</v>
      </c>
      <c r="E810" s="87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"/>
      <c r="Z810" s="9"/>
    </row>
    <row r="811" spans="1:26" ht="15.75" customHeight="1">
      <c r="A811" s="92">
        <v>29</v>
      </c>
      <c r="B811" s="93"/>
      <c r="C811" s="93" t="s">
        <v>2325</v>
      </c>
      <c r="D811" s="81" t="s">
        <v>2326</v>
      </c>
      <c r="E811" s="87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"/>
      <c r="Z811" s="9"/>
    </row>
    <row r="812" spans="1:26" ht="15.75" customHeight="1">
      <c r="A812" s="92">
        <v>30</v>
      </c>
      <c r="B812" s="93"/>
      <c r="C812" s="93" t="s">
        <v>2327</v>
      </c>
      <c r="D812" s="81" t="s">
        <v>2328</v>
      </c>
      <c r="E812" s="87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"/>
      <c r="Z812" s="9"/>
    </row>
    <row r="813" spans="1:26" ht="15.75" customHeight="1">
      <c r="A813" s="92">
        <v>31</v>
      </c>
      <c r="B813" s="93"/>
      <c r="C813" s="93" t="s">
        <v>2329</v>
      </c>
      <c r="D813" s="81" t="s">
        <v>2330</v>
      </c>
      <c r="E813" s="87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</row>
    <row r="814" spans="1:26" ht="15.75" customHeight="1">
      <c r="A814" s="92">
        <v>32</v>
      </c>
      <c r="B814" s="93"/>
      <c r="C814" s="93" t="s">
        <v>2331</v>
      </c>
      <c r="D814" s="81" t="s">
        <v>2332</v>
      </c>
      <c r="E814" s="87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</row>
    <row r="815" spans="1:26" ht="15.75" customHeight="1">
      <c r="A815" s="92">
        <v>33</v>
      </c>
      <c r="B815" s="93"/>
      <c r="C815" s="93" t="s">
        <v>2333</v>
      </c>
      <c r="D815" s="81" t="s">
        <v>2334</v>
      </c>
      <c r="E815" s="8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</row>
    <row r="816" spans="1:26" ht="15.75" customHeight="1">
      <c r="A816" s="92">
        <v>34</v>
      </c>
      <c r="B816" s="93"/>
      <c r="C816" s="93" t="s">
        <v>2335</v>
      </c>
      <c r="D816" s="81" t="s">
        <v>2336</v>
      </c>
      <c r="E816" s="87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</row>
    <row r="817" spans="1:25" ht="15.75" customHeight="1">
      <c r="A817" s="92">
        <v>35</v>
      </c>
      <c r="B817" s="93"/>
      <c r="C817" s="93"/>
      <c r="D817" s="81"/>
      <c r="E817" s="87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</row>
    <row r="818" spans="1:25" ht="15.75" customHeight="1">
      <c r="A818" s="92">
        <v>36</v>
      </c>
      <c r="B818" s="93"/>
      <c r="C818" s="93"/>
      <c r="D818" s="81"/>
      <c r="E818" s="87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</row>
    <row r="819" spans="1:25" ht="15.75" customHeight="1">
      <c r="A819" s="92">
        <v>37</v>
      </c>
      <c r="B819" s="93"/>
      <c r="C819" s="93"/>
      <c r="D819" s="81"/>
      <c r="E819" s="87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</row>
    <row r="820" spans="1:25" ht="15.75" customHeight="1">
      <c r="A820" s="92">
        <v>38</v>
      </c>
      <c r="B820" s="93"/>
      <c r="C820" s="93"/>
      <c r="D820" s="81"/>
      <c r="E820" s="8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</row>
    <row r="821" spans="1:25" ht="15.75" customHeight="1">
      <c r="A821" s="77"/>
      <c r="B821" s="79"/>
      <c r="C821" s="79"/>
      <c r="D821" s="66"/>
      <c r="E821" s="10"/>
    </row>
    <row r="822" spans="1:25">
      <c r="A822" s="3"/>
      <c r="B822" s="3"/>
      <c r="C822" s="3"/>
      <c r="D822" s="3" t="s">
        <v>864</v>
      </c>
      <c r="E822" s="10">
        <f>SUM(E823:E824)</f>
        <v>0</v>
      </c>
      <c r="G822" s="7"/>
      <c r="H822" s="7"/>
    </row>
    <row r="823" spans="1:25">
      <c r="A823" s="3"/>
      <c r="B823" s="3"/>
      <c r="C823" s="3"/>
      <c r="D823" s="43" t="s">
        <v>10</v>
      </c>
      <c r="E823" s="41">
        <f>COUNTIF(E783:E820,"L")</f>
        <v>0</v>
      </c>
      <c r="G823" s="2"/>
    </row>
    <row r="824" spans="1:25">
      <c r="A824" s="3"/>
      <c r="B824" s="3"/>
      <c r="C824" s="3"/>
      <c r="D824" s="43" t="s">
        <v>11</v>
      </c>
      <c r="E824" s="41">
        <f>COUNTIF(E783:E818,"P")</f>
        <v>0</v>
      </c>
      <c r="G824" s="2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1"/>
      <c r="S824" s="2"/>
      <c r="T824" s="2"/>
      <c r="U824" s="2"/>
      <c r="V824" s="2"/>
      <c r="W824" s="2"/>
      <c r="X824" s="3"/>
      <c r="Y824" s="2"/>
    </row>
    <row r="825" spans="1:25">
      <c r="A825" s="1" t="s">
        <v>12</v>
      </c>
      <c r="B825" s="1"/>
      <c r="C825" s="1"/>
      <c r="E825" s="1"/>
      <c r="F825" s="2"/>
      <c r="G825" s="2"/>
      <c r="H825" s="2"/>
      <c r="I825" s="3"/>
      <c r="J825" s="3"/>
      <c r="K825" s="3"/>
      <c r="L825" s="3"/>
      <c r="M825" s="3"/>
      <c r="N825" s="3"/>
      <c r="O825" s="3"/>
      <c r="P825" s="1" t="s">
        <v>1605</v>
      </c>
      <c r="Q825" s="2"/>
      <c r="T825" s="2"/>
      <c r="U825" s="2"/>
      <c r="V825" s="2"/>
      <c r="W825" s="2"/>
      <c r="X825" s="3"/>
      <c r="Y825" s="2"/>
    </row>
    <row r="826" spans="1:25">
      <c r="A826" s="1" t="s">
        <v>13</v>
      </c>
      <c r="B826" s="1"/>
      <c r="C826" s="1"/>
      <c r="E826" s="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1" t="s">
        <v>14</v>
      </c>
      <c r="Q826" s="3"/>
      <c r="S826" s="2"/>
      <c r="T826" s="2"/>
      <c r="U826" s="2"/>
      <c r="V826" s="2"/>
      <c r="W826" s="2"/>
      <c r="X826" s="3"/>
      <c r="Y826" s="2"/>
    </row>
    <row r="827" spans="1:25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"/>
      <c r="Q827" s="3"/>
      <c r="S827" s="2"/>
      <c r="T827" s="2"/>
      <c r="U827" s="2"/>
      <c r="V827" s="2"/>
      <c r="W827" s="2"/>
      <c r="X827" s="3"/>
      <c r="Y827" s="2"/>
    </row>
    <row r="828" spans="1:25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S828" s="2"/>
      <c r="T828" s="2"/>
      <c r="U828" s="2"/>
      <c r="V828" s="2"/>
      <c r="W828" s="2"/>
      <c r="X828" s="2"/>
      <c r="Y828" s="2"/>
    </row>
    <row r="829" spans="1:25" ht="15.75">
      <c r="A829" s="8" t="s">
        <v>854</v>
      </c>
      <c r="B829" s="8"/>
      <c r="C829" s="8"/>
      <c r="D829" s="8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8" t="s">
        <v>16</v>
      </c>
      <c r="Q829" s="8"/>
      <c r="S829" s="2"/>
      <c r="T829" s="9"/>
      <c r="U829" s="9"/>
      <c r="V829" s="9"/>
      <c r="W829" s="9"/>
      <c r="X829" s="9"/>
      <c r="Y829" s="9"/>
    </row>
    <row r="830" spans="1:25" ht="15.75">
      <c r="A830" s="8" t="s">
        <v>855</v>
      </c>
      <c r="B830" s="8"/>
      <c r="C830" s="8"/>
      <c r="D830" s="8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8" t="s">
        <v>17</v>
      </c>
      <c r="Q830" s="2"/>
      <c r="T830" s="9"/>
      <c r="U830" s="9"/>
      <c r="V830" s="9"/>
    </row>
    <row r="831" spans="1:25" ht="15.7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 spans="1:25" ht="15.7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 spans="1:25" ht="15.7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 spans="1:25" ht="15.7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 spans="1:25" ht="15.7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 spans="1:25" ht="15.7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 spans="1:25" ht="15.7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 spans="1:25" ht="15.7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 spans="1:25" ht="15.7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 spans="1:25" ht="15.7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 spans="1:25" ht="15.7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 spans="1:25" ht="15.7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 spans="1:25" ht="15.7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 spans="1:25" ht="15.7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 spans="1:25" ht="15.7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 spans="1:25" ht="15.7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 spans="1:25" ht="15.7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 spans="1:25" ht="15.75" customHeight="1"/>
    <row r="849" spans="1:26" ht="15.75" customHeight="1"/>
    <row r="850" spans="1:26" ht="15.75" customHeight="1"/>
    <row r="851" spans="1:26" ht="15.75" customHeight="1"/>
    <row r="852" spans="1:26" ht="15.75" customHeight="1"/>
    <row r="853" spans="1:26" ht="15.75" customHeight="1"/>
    <row r="854" spans="1:26" ht="15.75" customHeight="1"/>
    <row r="855" spans="1:26" ht="15.75" customHeight="1"/>
    <row r="856" spans="1:26" ht="15.75" customHeight="1"/>
    <row r="857" spans="1:26" ht="15.75" customHeight="1">
      <c r="A857" s="211" t="s">
        <v>132</v>
      </c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</row>
    <row r="858" spans="1:26" ht="15.75" customHeight="1">
      <c r="A858" s="211" t="s">
        <v>0</v>
      </c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8"/>
      <c r="Z858" s="8"/>
    </row>
    <row r="859" spans="1:26" ht="15.75" customHeight="1">
      <c r="Y859" s="8"/>
      <c r="Z859" s="8"/>
    </row>
    <row r="860" spans="1:26" ht="15.75" customHeight="1">
      <c r="A860" s="21" t="s">
        <v>133</v>
      </c>
      <c r="B860" s="21"/>
      <c r="C860" s="22" t="s">
        <v>2337</v>
      </c>
      <c r="D860" s="23"/>
      <c r="E860" s="23" t="s">
        <v>1623</v>
      </c>
      <c r="F860" s="54"/>
      <c r="G860" s="54"/>
      <c r="H860" s="54"/>
      <c r="I860" s="54"/>
      <c r="J860" s="54"/>
      <c r="K860" s="54"/>
      <c r="L860" s="54" t="s">
        <v>1628</v>
      </c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8"/>
    </row>
    <row r="861" spans="1:26" ht="15.75" customHeight="1">
      <c r="A861" s="205" t="s">
        <v>134</v>
      </c>
      <c r="B861" s="205"/>
      <c r="C861" s="15" t="s">
        <v>21</v>
      </c>
      <c r="D861" s="82"/>
      <c r="E861" s="14" t="s">
        <v>1621</v>
      </c>
      <c r="F861" s="82"/>
      <c r="G861" s="82"/>
      <c r="H861" s="82"/>
      <c r="I861" s="82"/>
      <c r="J861" s="82"/>
      <c r="K861" s="16"/>
      <c r="L861" s="82" t="s">
        <v>1629</v>
      </c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"/>
    </row>
    <row r="862" spans="1:26" ht="15.75" customHeight="1">
      <c r="D862" s="82"/>
      <c r="E862" s="83" t="s">
        <v>1625</v>
      </c>
      <c r="F862" s="82"/>
      <c r="G862" s="82"/>
      <c r="H862" s="82"/>
      <c r="I862" s="82"/>
      <c r="J862" s="82"/>
      <c r="K862" s="82"/>
      <c r="L862" s="82" t="s">
        <v>1629</v>
      </c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"/>
    </row>
    <row r="863" spans="1:26" ht="15.75" customHeight="1">
      <c r="A863" s="212" t="s">
        <v>136</v>
      </c>
      <c r="B863" s="212"/>
      <c r="C863" s="22" t="s">
        <v>2621</v>
      </c>
      <c r="D863" s="54"/>
      <c r="E863" s="23" t="s">
        <v>1627</v>
      </c>
      <c r="F863" s="54"/>
      <c r="G863" s="16"/>
      <c r="H863" s="54"/>
      <c r="I863" s="54"/>
      <c r="J863" s="54"/>
      <c r="K863" s="54" t="s">
        <v>1617</v>
      </c>
      <c r="L863" s="54" t="s">
        <v>1618</v>
      </c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8"/>
    </row>
    <row r="864" spans="1:26" ht="15.75" customHeight="1">
      <c r="A864" s="21"/>
      <c r="B864" s="21"/>
      <c r="C864" s="22"/>
      <c r="D864" s="54"/>
      <c r="E864" s="23"/>
      <c r="F864" s="54"/>
      <c r="G864" s="16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8"/>
    </row>
    <row r="865" spans="1:26" ht="15.75" customHeight="1">
      <c r="A865" s="24"/>
      <c r="B865" s="24"/>
      <c r="C865" s="24"/>
      <c r="D865" s="205" t="s">
        <v>1599</v>
      </c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8"/>
    </row>
    <row r="866" spans="1:26" ht="15.75" customHeight="1">
      <c r="A866" s="206" t="s">
        <v>1</v>
      </c>
      <c r="B866" s="206" t="s">
        <v>2</v>
      </c>
      <c r="C866" s="206" t="s">
        <v>18</v>
      </c>
      <c r="D866" s="206" t="s">
        <v>137</v>
      </c>
      <c r="E866" s="213" t="s">
        <v>3</v>
      </c>
      <c r="F866" s="208" t="s">
        <v>4</v>
      </c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10"/>
      <c r="V866" s="208" t="s">
        <v>5</v>
      </c>
      <c r="W866" s="209"/>
      <c r="X866" s="210"/>
    </row>
    <row r="867" spans="1:26" ht="15.75" customHeight="1">
      <c r="A867" s="207"/>
      <c r="B867" s="207"/>
      <c r="C867" s="207"/>
      <c r="D867" s="207"/>
      <c r="E867" s="214"/>
      <c r="F867" s="91">
        <v>1</v>
      </c>
      <c r="G867" s="91">
        <v>2</v>
      </c>
      <c r="H867" s="91">
        <v>3</v>
      </c>
      <c r="I867" s="91">
        <v>4</v>
      </c>
      <c r="J867" s="91">
        <v>5</v>
      </c>
      <c r="K867" s="91">
        <v>6</v>
      </c>
      <c r="L867" s="91">
        <v>7</v>
      </c>
      <c r="M867" s="91">
        <v>8</v>
      </c>
      <c r="N867" s="91">
        <v>9</v>
      </c>
      <c r="O867" s="91">
        <v>10</v>
      </c>
      <c r="P867" s="91">
        <v>11</v>
      </c>
      <c r="Q867" s="91">
        <v>12</v>
      </c>
      <c r="R867" s="91">
        <v>13</v>
      </c>
      <c r="S867" s="91">
        <v>14</v>
      </c>
      <c r="T867" s="91">
        <v>15</v>
      </c>
      <c r="U867" s="91">
        <v>16</v>
      </c>
      <c r="V867" s="91" t="s">
        <v>6</v>
      </c>
      <c r="W867" s="91" t="s">
        <v>7</v>
      </c>
      <c r="X867" s="91" t="s">
        <v>8</v>
      </c>
      <c r="Y867" s="9"/>
      <c r="Z867" s="9"/>
    </row>
    <row r="868" spans="1:26" ht="15.75" customHeight="1">
      <c r="A868" s="48"/>
      <c r="B868" s="48"/>
      <c r="C868" s="48"/>
      <c r="D868" s="48"/>
      <c r="E868" s="49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"/>
      <c r="Z868" s="9"/>
    </row>
    <row r="869" spans="1:26" ht="15.75" customHeight="1">
      <c r="A869" s="92">
        <v>1</v>
      </c>
      <c r="B869" s="93"/>
      <c r="C869" s="93" t="s">
        <v>2338</v>
      </c>
      <c r="D869" s="81" t="s">
        <v>2339</v>
      </c>
      <c r="E869" s="87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"/>
      <c r="Z869" s="9"/>
    </row>
    <row r="870" spans="1:26" ht="15.75" customHeight="1">
      <c r="A870" s="92">
        <v>2</v>
      </c>
      <c r="B870" s="93"/>
      <c r="C870" s="93" t="s">
        <v>2340</v>
      </c>
      <c r="D870" s="81" t="s">
        <v>2341</v>
      </c>
      <c r="E870" s="87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"/>
      <c r="Z870" s="9"/>
    </row>
    <row r="871" spans="1:26" ht="15.75" customHeight="1">
      <c r="A871" s="92">
        <v>3</v>
      </c>
      <c r="B871" s="93"/>
      <c r="C871" s="93" t="s">
        <v>2342</v>
      </c>
      <c r="D871" s="81" t="s">
        <v>2343</v>
      </c>
      <c r="E871" s="87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"/>
      <c r="Z871" s="9"/>
    </row>
    <row r="872" spans="1:26" ht="15.75" customHeight="1">
      <c r="A872" s="92">
        <v>4</v>
      </c>
      <c r="B872" s="93"/>
      <c r="C872" s="93" t="s">
        <v>2344</v>
      </c>
      <c r="D872" s="81" t="s">
        <v>2345</v>
      </c>
      <c r="E872" s="87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"/>
      <c r="Z872" s="9"/>
    </row>
    <row r="873" spans="1:26" ht="15.75" customHeight="1">
      <c r="A873" s="92">
        <v>5</v>
      </c>
      <c r="B873" s="93"/>
      <c r="C873" s="93" t="s">
        <v>2346</v>
      </c>
      <c r="D873" s="81" t="s">
        <v>2347</v>
      </c>
      <c r="E873" s="87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"/>
      <c r="Z873" s="9"/>
    </row>
    <row r="874" spans="1:26" ht="15.75" customHeight="1">
      <c r="A874" s="92">
        <v>6</v>
      </c>
      <c r="B874" s="93"/>
      <c r="C874" s="93" t="s">
        <v>2348</v>
      </c>
      <c r="D874" s="81" t="s">
        <v>2349</v>
      </c>
      <c r="E874" s="87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"/>
      <c r="Z874" s="9"/>
    </row>
    <row r="875" spans="1:26" ht="15.75" customHeight="1">
      <c r="A875" s="92">
        <v>7</v>
      </c>
      <c r="B875" s="93"/>
      <c r="C875" s="93" t="s">
        <v>2350</v>
      </c>
      <c r="D875" s="81" t="s">
        <v>2351</v>
      </c>
      <c r="E875" s="87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"/>
      <c r="Z875" s="9"/>
    </row>
    <row r="876" spans="1:26" ht="15.75" customHeight="1">
      <c r="A876" s="92">
        <v>8</v>
      </c>
      <c r="B876" s="93"/>
      <c r="C876" s="93" t="s">
        <v>2352</v>
      </c>
      <c r="D876" s="81" t="s">
        <v>2353</v>
      </c>
      <c r="E876" s="87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"/>
      <c r="Z876" s="9"/>
    </row>
    <row r="877" spans="1:26" ht="15.75" customHeight="1">
      <c r="A877" s="92">
        <v>9</v>
      </c>
      <c r="B877" s="93"/>
      <c r="C877" s="93" t="s">
        <v>2354</v>
      </c>
      <c r="D877" s="81" t="s">
        <v>2355</v>
      </c>
      <c r="E877" s="87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"/>
      <c r="Z877" s="9"/>
    </row>
    <row r="878" spans="1:26" ht="15.75" customHeight="1">
      <c r="A878" s="92">
        <v>10</v>
      </c>
      <c r="B878" s="93"/>
      <c r="C878" s="93" t="s">
        <v>2356</v>
      </c>
      <c r="D878" s="81" t="s">
        <v>2357</v>
      </c>
      <c r="E878" s="87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"/>
      <c r="Z878" s="9"/>
    </row>
    <row r="879" spans="1:26" ht="15.75" customHeight="1">
      <c r="A879" s="92">
        <v>11</v>
      </c>
      <c r="B879" s="93"/>
      <c r="C879" s="93" t="s">
        <v>2358</v>
      </c>
      <c r="D879" s="81" t="s">
        <v>2359</v>
      </c>
      <c r="E879" s="87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"/>
      <c r="Z879" s="9"/>
    </row>
    <row r="880" spans="1:26" ht="15.75" customHeight="1">
      <c r="A880" s="92">
        <v>12</v>
      </c>
      <c r="B880" s="93"/>
      <c r="C880" s="93" t="s">
        <v>2360</v>
      </c>
      <c r="D880" s="81" t="s">
        <v>2361</v>
      </c>
      <c r="E880" s="87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"/>
      <c r="Z880" s="9"/>
    </row>
    <row r="881" spans="1:26" ht="15.75" customHeight="1">
      <c r="A881" s="92">
        <v>13</v>
      </c>
      <c r="B881" s="93"/>
      <c r="C881" s="93" t="s">
        <v>2362</v>
      </c>
      <c r="D881" s="81" t="s">
        <v>2363</v>
      </c>
      <c r="E881" s="87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"/>
      <c r="Z881" s="9"/>
    </row>
    <row r="882" spans="1:26" ht="15.75" customHeight="1">
      <c r="A882" s="92">
        <v>14</v>
      </c>
      <c r="B882" s="93"/>
      <c r="C882" s="93" t="s">
        <v>2364</v>
      </c>
      <c r="D882" s="81" t="s">
        <v>2365</v>
      </c>
      <c r="E882" s="87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"/>
      <c r="Z882" s="9"/>
    </row>
    <row r="883" spans="1:26" ht="15.75" customHeight="1">
      <c r="A883" s="92">
        <v>15</v>
      </c>
      <c r="B883" s="93"/>
      <c r="C883" s="93" t="s">
        <v>2366</v>
      </c>
      <c r="D883" s="81" t="s">
        <v>2367</v>
      </c>
      <c r="E883" s="87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"/>
      <c r="Z883" s="9"/>
    </row>
    <row r="884" spans="1:26" ht="15.75" customHeight="1">
      <c r="A884" s="92">
        <v>16</v>
      </c>
      <c r="B884" s="93"/>
      <c r="C884" s="93" t="s">
        <v>2368</v>
      </c>
      <c r="D884" s="81" t="s">
        <v>2369</v>
      </c>
      <c r="E884" s="87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"/>
      <c r="Z884" s="9"/>
    </row>
    <row r="885" spans="1:26" ht="15.75" customHeight="1">
      <c r="A885" s="92">
        <v>17</v>
      </c>
      <c r="B885" s="93"/>
      <c r="C885" s="93" t="s">
        <v>2370</v>
      </c>
      <c r="D885" s="81" t="s">
        <v>2371</v>
      </c>
      <c r="E885" s="87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"/>
      <c r="Z885" s="9"/>
    </row>
    <row r="886" spans="1:26" ht="15.75" customHeight="1">
      <c r="A886" s="92">
        <v>18</v>
      </c>
      <c r="B886" s="93"/>
      <c r="C886" s="93" t="s">
        <v>2372</v>
      </c>
      <c r="D886" s="81" t="s">
        <v>2373</v>
      </c>
      <c r="E886" s="87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"/>
      <c r="Z886" s="9"/>
    </row>
    <row r="887" spans="1:26" ht="15.75" customHeight="1">
      <c r="A887" s="92">
        <v>19</v>
      </c>
      <c r="B887" s="93"/>
      <c r="C887" s="93" t="s">
        <v>2374</v>
      </c>
      <c r="D887" s="81" t="s">
        <v>2375</v>
      </c>
      <c r="E887" s="87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"/>
      <c r="Z887" s="9"/>
    </row>
    <row r="888" spans="1:26" ht="15.75" customHeight="1">
      <c r="A888" s="92">
        <v>20</v>
      </c>
      <c r="B888" s="93"/>
      <c r="C888" s="93" t="s">
        <v>2376</v>
      </c>
      <c r="D888" s="81" t="s">
        <v>2377</v>
      </c>
      <c r="E888" s="87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"/>
      <c r="Z888" s="9"/>
    </row>
    <row r="889" spans="1:26" ht="15.75" customHeight="1">
      <c r="A889" s="92">
        <v>21</v>
      </c>
      <c r="B889" s="93"/>
      <c r="C889" s="93" t="s">
        <v>2378</v>
      </c>
      <c r="D889" s="81" t="s">
        <v>2379</v>
      </c>
      <c r="E889" s="87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"/>
      <c r="Z889" s="9"/>
    </row>
    <row r="890" spans="1:26" ht="15.75" customHeight="1">
      <c r="A890" s="92">
        <v>22</v>
      </c>
      <c r="B890" s="93"/>
      <c r="C890" s="93" t="s">
        <v>2380</v>
      </c>
      <c r="D890" s="81" t="s">
        <v>2381</v>
      </c>
      <c r="E890" s="87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"/>
      <c r="Z890" s="9"/>
    </row>
    <row r="891" spans="1:26" ht="15.75" customHeight="1">
      <c r="A891" s="92">
        <v>23</v>
      </c>
      <c r="B891" s="93"/>
      <c r="C891" s="93" t="s">
        <v>2382</v>
      </c>
      <c r="D891" s="81" t="s">
        <v>2383</v>
      </c>
      <c r="E891" s="87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"/>
      <c r="Z891" s="9"/>
    </row>
    <row r="892" spans="1:26" ht="15.75" customHeight="1">
      <c r="A892" s="92">
        <v>24</v>
      </c>
      <c r="B892" s="93"/>
      <c r="C892" s="93" t="s">
        <v>2384</v>
      </c>
      <c r="D892" s="81" t="s">
        <v>2385</v>
      </c>
      <c r="E892" s="87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"/>
      <c r="Z892" s="9"/>
    </row>
    <row r="893" spans="1:26" ht="15.75" customHeight="1">
      <c r="A893" s="92">
        <v>25</v>
      </c>
      <c r="B893" s="93"/>
      <c r="C893" s="93" t="s">
        <v>2386</v>
      </c>
      <c r="D893" s="81" t="s">
        <v>2387</v>
      </c>
      <c r="E893" s="87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"/>
      <c r="Z893" s="9"/>
    </row>
    <row r="894" spans="1:26" ht="15.75" customHeight="1">
      <c r="A894" s="92">
        <v>26</v>
      </c>
      <c r="B894" s="93"/>
      <c r="C894" s="93" t="s">
        <v>2388</v>
      </c>
      <c r="D894" s="81" t="s">
        <v>2389</v>
      </c>
      <c r="E894" s="87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"/>
      <c r="Z894" s="9"/>
    </row>
    <row r="895" spans="1:26" ht="15.75" customHeight="1">
      <c r="A895" s="92">
        <v>27</v>
      </c>
      <c r="B895" s="93"/>
      <c r="C895" s="93" t="s">
        <v>2390</v>
      </c>
      <c r="D895" s="81" t="s">
        <v>2391</v>
      </c>
      <c r="E895" s="87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"/>
      <c r="Z895" s="9"/>
    </row>
    <row r="896" spans="1:26" ht="15.75" customHeight="1">
      <c r="A896" s="92">
        <v>28</v>
      </c>
      <c r="B896" s="93"/>
      <c r="C896" s="93" t="s">
        <v>2392</v>
      </c>
      <c r="D896" s="81" t="s">
        <v>2393</v>
      </c>
      <c r="E896" s="87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"/>
      <c r="Z896" s="9"/>
    </row>
    <row r="897" spans="1:26" ht="15.75" customHeight="1">
      <c r="A897" s="92">
        <v>29</v>
      </c>
      <c r="B897" s="93"/>
      <c r="C897" s="93" t="s">
        <v>2394</v>
      </c>
      <c r="D897" s="81" t="s">
        <v>2395</v>
      </c>
      <c r="E897" s="87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"/>
      <c r="Z897" s="9"/>
    </row>
    <row r="898" spans="1:26" ht="15.75" customHeight="1">
      <c r="A898" s="92">
        <v>30</v>
      </c>
      <c r="B898" s="93"/>
      <c r="C898" s="93" t="s">
        <v>2396</v>
      </c>
      <c r="D898" s="81" t="s">
        <v>2397</v>
      </c>
      <c r="E898" s="87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"/>
      <c r="Z898" s="9"/>
    </row>
    <row r="899" spans="1:26" ht="15.75" customHeight="1">
      <c r="A899" s="92">
        <v>31</v>
      </c>
      <c r="B899" s="93"/>
      <c r="C899" s="93" t="s">
        <v>2398</v>
      </c>
      <c r="D899" s="81" t="s">
        <v>2399</v>
      </c>
      <c r="E899" s="87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</row>
    <row r="900" spans="1:26" ht="15.75" customHeight="1">
      <c r="A900" s="92">
        <v>32</v>
      </c>
      <c r="B900" s="93"/>
      <c r="C900" s="93" t="s">
        <v>2400</v>
      </c>
      <c r="D900" s="81" t="s">
        <v>2401</v>
      </c>
      <c r="E900" s="87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</row>
    <row r="901" spans="1:26" ht="15.75" customHeight="1">
      <c r="A901" s="92">
        <v>33</v>
      </c>
      <c r="B901" s="93"/>
      <c r="C901" s="93" t="s">
        <v>2402</v>
      </c>
      <c r="D901" s="81" t="s">
        <v>2403</v>
      </c>
      <c r="E901" s="87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</row>
    <row r="902" spans="1:26" ht="15.75" customHeight="1">
      <c r="A902" s="92">
        <v>34</v>
      </c>
      <c r="B902" s="93"/>
      <c r="C902" s="93" t="s">
        <v>2404</v>
      </c>
      <c r="D902" s="81" t="s">
        <v>2405</v>
      </c>
      <c r="E902" s="87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</row>
    <row r="903" spans="1:26" ht="15.75" customHeight="1">
      <c r="A903" s="92">
        <v>35</v>
      </c>
      <c r="B903" s="93"/>
      <c r="C903" s="93" t="s">
        <v>2406</v>
      </c>
      <c r="D903" s="81" t="s">
        <v>2407</v>
      </c>
      <c r="E903" s="87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</row>
    <row r="904" spans="1:26" ht="15.75" customHeight="1">
      <c r="A904" s="92">
        <v>36</v>
      </c>
      <c r="B904" s="93"/>
      <c r="C904" s="93" t="s">
        <v>2408</v>
      </c>
      <c r="D904" s="81" t="s">
        <v>2409</v>
      </c>
      <c r="E904" s="87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</row>
    <row r="905" spans="1:26" ht="15.75" customHeight="1">
      <c r="A905" s="92">
        <v>37</v>
      </c>
      <c r="B905" s="93"/>
      <c r="C905" s="93"/>
      <c r="D905" s="81"/>
      <c r="E905" s="87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</row>
    <row r="906" spans="1:26" ht="15.75" customHeight="1">
      <c r="A906" s="92">
        <v>38</v>
      </c>
      <c r="B906" s="93"/>
      <c r="C906" s="93"/>
      <c r="D906" s="81"/>
      <c r="E906" s="87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</row>
    <row r="907" spans="1:26" ht="15.75" customHeight="1">
      <c r="A907" s="77"/>
      <c r="B907" s="79"/>
      <c r="C907" s="79"/>
      <c r="D907" s="66"/>
      <c r="E907" s="10"/>
    </row>
    <row r="908" spans="1:26">
      <c r="A908" s="3"/>
      <c r="B908" s="3"/>
      <c r="C908" s="3"/>
      <c r="D908" s="3" t="s">
        <v>864</v>
      </c>
      <c r="E908" s="10">
        <f>SUM(E909:E910)</f>
        <v>0</v>
      </c>
      <c r="G908" s="7"/>
      <c r="H908" s="7"/>
    </row>
    <row r="909" spans="1:26">
      <c r="A909" s="3"/>
      <c r="B909" s="3"/>
      <c r="C909" s="3"/>
      <c r="D909" s="43" t="s">
        <v>10</v>
      </c>
      <c r="E909" s="41">
        <f>COUNTIF(E869:E906,"L")</f>
        <v>0</v>
      </c>
      <c r="G909" s="2"/>
    </row>
    <row r="910" spans="1:26">
      <c r="A910" s="3"/>
      <c r="B910" s="3"/>
      <c r="C910" s="3"/>
      <c r="D910" s="43" t="s">
        <v>11</v>
      </c>
      <c r="E910" s="41">
        <f>COUNTIF(E869:E904,"P")</f>
        <v>0</v>
      </c>
      <c r="G910" s="2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1"/>
      <c r="S910" s="2"/>
      <c r="T910" s="2"/>
      <c r="U910" s="2"/>
      <c r="V910" s="2"/>
      <c r="W910" s="2"/>
      <c r="X910" s="3"/>
      <c r="Y910" s="2"/>
    </row>
    <row r="911" spans="1:26">
      <c r="A911" s="1" t="s">
        <v>12</v>
      </c>
      <c r="B911" s="1"/>
      <c r="C911" s="1"/>
      <c r="E911" s="1"/>
      <c r="F911" s="2"/>
      <c r="G911" s="2"/>
      <c r="H911" s="2"/>
      <c r="I911" s="3"/>
      <c r="J911" s="3"/>
      <c r="K911" s="3"/>
      <c r="L911" s="3"/>
      <c r="M911" s="3"/>
      <c r="N911" s="3"/>
      <c r="O911" s="3"/>
      <c r="P911" s="1" t="s">
        <v>1605</v>
      </c>
      <c r="Q911" s="2"/>
      <c r="T911" s="2"/>
      <c r="U911" s="2"/>
      <c r="V911" s="2"/>
      <c r="W911" s="2"/>
      <c r="X911" s="3"/>
      <c r="Y911" s="2"/>
    </row>
    <row r="912" spans="1:26">
      <c r="A912" s="1" t="s">
        <v>13</v>
      </c>
      <c r="B912" s="1"/>
      <c r="C912" s="1"/>
      <c r="E912" s="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1" t="s">
        <v>14</v>
      </c>
      <c r="Q912" s="3"/>
      <c r="S912" s="2"/>
      <c r="T912" s="2"/>
      <c r="U912" s="2"/>
      <c r="V912" s="2"/>
      <c r="W912" s="2"/>
      <c r="X912" s="3"/>
      <c r="Y912" s="2"/>
    </row>
    <row r="913" spans="1:25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"/>
      <c r="Q913" s="3"/>
      <c r="S913" s="2"/>
      <c r="T913" s="2"/>
      <c r="U913" s="2"/>
      <c r="V913" s="2"/>
      <c r="W913" s="2"/>
      <c r="X913" s="3"/>
      <c r="Y913" s="2"/>
    </row>
    <row r="914" spans="1:25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</row>
    <row r="915" spans="1:25" ht="15.75">
      <c r="A915" s="8" t="s">
        <v>854</v>
      </c>
      <c r="B915" s="8"/>
      <c r="C915" s="8"/>
      <c r="D915" s="8"/>
      <c r="E915" s="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8" t="s">
        <v>16</v>
      </c>
      <c r="Q915" s="8"/>
      <c r="S915" s="2"/>
      <c r="T915" s="9"/>
      <c r="U915" s="9"/>
      <c r="V915" s="9"/>
      <c r="W915" s="9"/>
      <c r="X915" s="9"/>
      <c r="Y915" s="9"/>
    </row>
    <row r="916" spans="1:25" ht="15.75">
      <c r="A916" s="8" t="s">
        <v>855</v>
      </c>
      <c r="B916" s="8"/>
      <c r="C916" s="8"/>
      <c r="D916" s="8"/>
      <c r="E916" s="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8" t="s">
        <v>17</v>
      </c>
      <c r="Q916" s="2"/>
      <c r="T916" s="9"/>
      <c r="U916" s="9"/>
      <c r="V916" s="9"/>
    </row>
    <row r="917" spans="1:25" ht="15.7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 spans="1:25" ht="15.7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 spans="1:25" ht="15.7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 spans="1:25" ht="15.7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 spans="1:25" ht="15.7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 spans="1:25" ht="15.7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 spans="1:25" ht="15.7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 spans="1:25" ht="15.7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 spans="1:25" ht="15.7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 spans="1:25" ht="15.7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 spans="1:25" ht="15.7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 spans="1:25" ht="15.7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 spans="1:26" ht="15.7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 spans="1:26" ht="15.7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 spans="1:26" ht="15.7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 spans="1:26" ht="15.7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 spans="1:26" ht="15.7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 spans="1:26" ht="15.75" customHeight="1"/>
    <row r="935" spans="1:26" ht="15.75" customHeight="1"/>
    <row r="936" spans="1:26" ht="15.75" customHeight="1"/>
    <row r="937" spans="1:26" ht="15.75" customHeight="1"/>
    <row r="938" spans="1:26" ht="15.75" customHeight="1"/>
    <row r="939" spans="1:26" ht="15.75" customHeight="1"/>
    <row r="940" spans="1:26" ht="15.75" customHeight="1"/>
    <row r="941" spans="1:26" ht="15.75" customHeight="1"/>
    <row r="942" spans="1:26" ht="15.75" customHeight="1">
      <c r="A942" s="211" t="s">
        <v>132</v>
      </c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</row>
    <row r="943" spans="1:26" ht="15.75" customHeight="1">
      <c r="A943" s="211" t="s">
        <v>0</v>
      </c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8"/>
      <c r="Z943" s="8"/>
    </row>
    <row r="944" spans="1:26" ht="15.75" customHeight="1">
      <c r="Y944" s="8"/>
      <c r="Z944" s="8"/>
    </row>
    <row r="945" spans="1:26" ht="15.75" customHeight="1">
      <c r="A945" s="21" t="s">
        <v>133</v>
      </c>
      <c r="B945" s="21"/>
      <c r="C945" s="22" t="s">
        <v>2410</v>
      </c>
      <c r="D945" s="23"/>
      <c r="E945" s="23" t="s">
        <v>1623</v>
      </c>
      <c r="F945" s="54"/>
      <c r="G945" s="54"/>
      <c r="H945" s="54"/>
      <c r="I945" s="54"/>
      <c r="J945" s="54"/>
      <c r="K945" s="54"/>
      <c r="L945" s="54" t="s">
        <v>1628</v>
      </c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8"/>
    </row>
    <row r="946" spans="1:26" ht="15.75" customHeight="1">
      <c r="A946" s="205" t="s">
        <v>134</v>
      </c>
      <c r="B946" s="205"/>
      <c r="C946" s="15" t="s">
        <v>21</v>
      </c>
      <c r="D946" s="82"/>
      <c r="E946" s="14" t="s">
        <v>1621</v>
      </c>
      <c r="F946" s="82"/>
      <c r="G946" s="82"/>
      <c r="H946" s="82"/>
      <c r="I946" s="82"/>
      <c r="J946" s="82"/>
      <c r="K946" s="16"/>
      <c r="L946" s="82" t="s">
        <v>1629</v>
      </c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"/>
    </row>
    <row r="947" spans="1:26" ht="15.75" customHeight="1">
      <c r="D947" s="82"/>
      <c r="E947" s="83" t="s">
        <v>1625</v>
      </c>
      <c r="F947" s="82"/>
      <c r="G947" s="82"/>
      <c r="H947" s="82"/>
      <c r="I947" s="82"/>
      <c r="J947" s="82"/>
      <c r="K947" s="82"/>
      <c r="L947" s="82" t="s">
        <v>1629</v>
      </c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"/>
    </row>
    <row r="948" spans="1:26" ht="15.75" customHeight="1">
      <c r="A948" s="212" t="s">
        <v>136</v>
      </c>
      <c r="B948" s="212"/>
      <c r="C948" s="22" t="s">
        <v>2622</v>
      </c>
      <c r="D948" s="54"/>
      <c r="E948" s="23" t="s">
        <v>1627</v>
      </c>
      <c r="F948" s="54"/>
      <c r="G948" s="16"/>
      <c r="H948" s="54"/>
      <c r="I948" s="54"/>
      <c r="J948" s="54"/>
      <c r="K948" s="54" t="s">
        <v>1617</v>
      </c>
      <c r="L948" s="54" t="s">
        <v>1618</v>
      </c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8"/>
    </row>
    <row r="949" spans="1:26" ht="15.75" customHeight="1">
      <c r="A949" s="21"/>
      <c r="B949" s="21"/>
      <c r="C949" s="22"/>
      <c r="D949" s="54"/>
      <c r="E949" s="23"/>
      <c r="F949" s="54"/>
      <c r="G949" s="16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8"/>
    </row>
    <row r="950" spans="1:26" ht="15.75" customHeight="1">
      <c r="A950" s="24"/>
      <c r="B950" s="24"/>
      <c r="C950" s="24"/>
      <c r="D950" s="205" t="s">
        <v>1599</v>
      </c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8"/>
    </row>
    <row r="951" spans="1:26" ht="15.75" customHeight="1">
      <c r="A951" s="206" t="s">
        <v>1</v>
      </c>
      <c r="B951" s="206" t="s">
        <v>2</v>
      </c>
      <c r="C951" s="206" t="s">
        <v>18</v>
      </c>
      <c r="D951" s="206" t="s">
        <v>137</v>
      </c>
      <c r="E951" s="213" t="s">
        <v>3</v>
      </c>
      <c r="F951" s="208" t="s">
        <v>4</v>
      </c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10"/>
      <c r="V951" s="208" t="s">
        <v>5</v>
      </c>
      <c r="W951" s="209"/>
      <c r="X951" s="210"/>
    </row>
    <row r="952" spans="1:26" ht="15.75" customHeight="1">
      <c r="A952" s="207"/>
      <c r="B952" s="207"/>
      <c r="C952" s="207"/>
      <c r="D952" s="207"/>
      <c r="E952" s="214"/>
      <c r="F952" s="91">
        <v>1</v>
      </c>
      <c r="G952" s="91">
        <v>2</v>
      </c>
      <c r="H952" s="91">
        <v>3</v>
      </c>
      <c r="I952" s="91">
        <v>4</v>
      </c>
      <c r="J952" s="91">
        <v>5</v>
      </c>
      <c r="K952" s="91">
        <v>6</v>
      </c>
      <c r="L952" s="91">
        <v>7</v>
      </c>
      <c r="M952" s="91">
        <v>8</v>
      </c>
      <c r="N952" s="91">
        <v>9</v>
      </c>
      <c r="O952" s="91">
        <v>10</v>
      </c>
      <c r="P952" s="91">
        <v>11</v>
      </c>
      <c r="Q952" s="91">
        <v>12</v>
      </c>
      <c r="R952" s="91">
        <v>13</v>
      </c>
      <c r="S952" s="91">
        <v>14</v>
      </c>
      <c r="T952" s="91">
        <v>15</v>
      </c>
      <c r="U952" s="91">
        <v>16</v>
      </c>
      <c r="V952" s="91" t="s">
        <v>6</v>
      </c>
      <c r="W952" s="91" t="s">
        <v>7</v>
      </c>
      <c r="X952" s="91" t="s">
        <v>8</v>
      </c>
      <c r="Y952" s="9"/>
      <c r="Z952" s="9"/>
    </row>
    <row r="953" spans="1:26" ht="15.75" customHeight="1">
      <c r="A953" s="48"/>
      <c r="B953" s="48"/>
      <c r="C953" s="48"/>
      <c r="D953" s="48"/>
      <c r="E953" s="49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"/>
      <c r="Z953" s="9"/>
    </row>
    <row r="954" spans="1:26" ht="15.75" customHeight="1">
      <c r="A954" s="92">
        <v>1</v>
      </c>
      <c r="B954" s="93"/>
      <c r="C954" s="93" t="s">
        <v>2411</v>
      </c>
      <c r="D954" s="81" t="s">
        <v>647</v>
      </c>
      <c r="E954" s="87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"/>
      <c r="Z954" s="9"/>
    </row>
    <row r="955" spans="1:26" ht="15.75" customHeight="1">
      <c r="A955" s="92">
        <v>2</v>
      </c>
      <c r="B955" s="93"/>
      <c r="C955" s="93" t="s">
        <v>2412</v>
      </c>
      <c r="D955" s="81" t="s">
        <v>2413</v>
      </c>
      <c r="E955" s="87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"/>
      <c r="Z955" s="9"/>
    </row>
    <row r="956" spans="1:26" ht="15.75" customHeight="1">
      <c r="A956" s="92">
        <v>3</v>
      </c>
      <c r="B956" s="93"/>
      <c r="C956" s="93" t="s">
        <v>2414</v>
      </c>
      <c r="D956" s="81" t="s">
        <v>2415</v>
      </c>
      <c r="E956" s="87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"/>
      <c r="Z956" s="9"/>
    </row>
    <row r="957" spans="1:26" ht="15.75" customHeight="1">
      <c r="A957" s="92">
        <v>4</v>
      </c>
      <c r="B957" s="93"/>
      <c r="C957" s="93" t="s">
        <v>2416</v>
      </c>
      <c r="D957" s="81" t="s">
        <v>2417</v>
      </c>
      <c r="E957" s="87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"/>
      <c r="Z957" s="9"/>
    </row>
    <row r="958" spans="1:26" ht="15.75" customHeight="1">
      <c r="A958" s="92">
        <v>5</v>
      </c>
      <c r="B958" s="93"/>
      <c r="C958" s="93" t="s">
        <v>2418</v>
      </c>
      <c r="D958" s="81" t="s">
        <v>2419</v>
      </c>
      <c r="E958" s="87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"/>
      <c r="Z958" s="9"/>
    </row>
    <row r="959" spans="1:26" ht="15.75" customHeight="1">
      <c r="A959" s="92">
        <v>6</v>
      </c>
      <c r="B959" s="93"/>
      <c r="C959" s="93" t="s">
        <v>2420</v>
      </c>
      <c r="D959" s="81" t="s">
        <v>2421</v>
      </c>
      <c r="E959" s="87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"/>
      <c r="Z959" s="9"/>
    </row>
    <row r="960" spans="1:26" ht="15.75" customHeight="1">
      <c r="A960" s="92">
        <v>7</v>
      </c>
      <c r="B960" s="93"/>
      <c r="C960" s="93" t="s">
        <v>2422</v>
      </c>
      <c r="D960" s="81" t="s">
        <v>2423</v>
      </c>
      <c r="E960" s="87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"/>
      <c r="Z960" s="9"/>
    </row>
    <row r="961" spans="1:26" ht="15.75" customHeight="1">
      <c r="A961" s="92">
        <v>8</v>
      </c>
      <c r="B961" s="93"/>
      <c r="C961" s="93" t="s">
        <v>2424</v>
      </c>
      <c r="D961" s="81" t="s">
        <v>2425</v>
      </c>
      <c r="E961" s="87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"/>
      <c r="Z961" s="9"/>
    </row>
    <row r="962" spans="1:26" ht="15.75" customHeight="1">
      <c r="A962" s="92">
        <v>9</v>
      </c>
      <c r="B962" s="93"/>
      <c r="C962" s="93" t="s">
        <v>2426</v>
      </c>
      <c r="D962" s="81" t="s">
        <v>2427</v>
      </c>
      <c r="E962" s="87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"/>
      <c r="Z962" s="9"/>
    </row>
    <row r="963" spans="1:26" ht="15.75" customHeight="1">
      <c r="A963" s="92">
        <v>10</v>
      </c>
      <c r="B963" s="93"/>
      <c r="C963" s="93" t="s">
        <v>2428</v>
      </c>
      <c r="D963" s="81" t="s">
        <v>2429</v>
      </c>
      <c r="E963" s="87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"/>
      <c r="Z963" s="9"/>
    </row>
    <row r="964" spans="1:26" ht="15.75" customHeight="1">
      <c r="A964" s="92">
        <v>11</v>
      </c>
      <c r="B964" s="93"/>
      <c r="C964" s="93" t="s">
        <v>2430</v>
      </c>
      <c r="D964" s="81" t="s">
        <v>2431</v>
      </c>
      <c r="E964" s="87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"/>
      <c r="Z964" s="9"/>
    </row>
    <row r="965" spans="1:26" ht="15.75" customHeight="1">
      <c r="A965" s="92">
        <v>12</v>
      </c>
      <c r="B965" s="93"/>
      <c r="C965" s="93" t="s">
        <v>2432</v>
      </c>
      <c r="D965" s="81" t="s">
        <v>2433</v>
      </c>
      <c r="E965" s="87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"/>
      <c r="Z965" s="9"/>
    </row>
    <row r="966" spans="1:26" ht="15.75" customHeight="1">
      <c r="A966" s="92">
        <v>13</v>
      </c>
      <c r="B966" s="93"/>
      <c r="C966" s="93" t="s">
        <v>2434</v>
      </c>
      <c r="D966" s="81" t="s">
        <v>2435</v>
      </c>
      <c r="E966" s="87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"/>
      <c r="Z966" s="9"/>
    </row>
    <row r="967" spans="1:26" ht="15.75" customHeight="1">
      <c r="A967" s="92">
        <v>14</v>
      </c>
      <c r="B967" s="93"/>
      <c r="C967" s="93" t="s">
        <v>2436</v>
      </c>
      <c r="D967" s="81" t="s">
        <v>2437</v>
      </c>
      <c r="E967" s="87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"/>
      <c r="Z967" s="9"/>
    </row>
    <row r="968" spans="1:26" ht="15.75" customHeight="1">
      <c r="A968" s="92">
        <v>15</v>
      </c>
      <c r="B968" s="93"/>
      <c r="C968" s="93" t="s">
        <v>2438</v>
      </c>
      <c r="D968" s="81" t="s">
        <v>2439</v>
      </c>
      <c r="E968" s="87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"/>
      <c r="Z968" s="9"/>
    </row>
    <row r="969" spans="1:26" ht="15.75" customHeight="1">
      <c r="A969" s="92">
        <v>16</v>
      </c>
      <c r="B969" s="93"/>
      <c r="C969" s="93" t="s">
        <v>2440</v>
      </c>
      <c r="D969" s="81" t="s">
        <v>2441</v>
      </c>
      <c r="E969" s="87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"/>
      <c r="Z969" s="9"/>
    </row>
    <row r="970" spans="1:26" ht="15.75" customHeight="1">
      <c r="A970" s="92">
        <v>17</v>
      </c>
      <c r="B970" s="93"/>
      <c r="C970" s="93" t="s">
        <v>2442</v>
      </c>
      <c r="D970" s="81" t="s">
        <v>2443</v>
      </c>
      <c r="E970" s="87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"/>
      <c r="Z970" s="9"/>
    </row>
    <row r="971" spans="1:26" ht="15.75" customHeight="1">
      <c r="A971" s="92">
        <v>18</v>
      </c>
      <c r="B971" s="93"/>
      <c r="C971" s="93" t="s">
        <v>2444</v>
      </c>
      <c r="D971" s="81" t="s">
        <v>2445</v>
      </c>
      <c r="E971" s="87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"/>
      <c r="Z971" s="9"/>
    </row>
    <row r="972" spans="1:26" ht="15.75" customHeight="1">
      <c r="A972" s="92">
        <v>19</v>
      </c>
      <c r="B972" s="93"/>
      <c r="C972" s="93" t="s">
        <v>2446</v>
      </c>
      <c r="D972" s="81" t="s">
        <v>2447</v>
      </c>
      <c r="E972" s="87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"/>
      <c r="Z972" s="9"/>
    </row>
    <row r="973" spans="1:26" ht="15.75" customHeight="1">
      <c r="A973" s="92">
        <v>20</v>
      </c>
      <c r="B973" s="93"/>
      <c r="C973" s="93" t="s">
        <v>2448</v>
      </c>
      <c r="D973" s="81" t="s">
        <v>2449</v>
      </c>
      <c r="E973" s="87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"/>
      <c r="Z973" s="9"/>
    </row>
    <row r="974" spans="1:26" ht="15.75" customHeight="1">
      <c r="A974" s="92">
        <v>21</v>
      </c>
      <c r="B974" s="93"/>
      <c r="C974" s="93" t="s">
        <v>2450</v>
      </c>
      <c r="D974" s="81" t="s">
        <v>2451</v>
      </c>
      <c r="E974" s="87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"/>
      <c r="Z974" s="9"/>
    </row>
    <row r="975" spans="1:26" ht="15.75" customHeight="1">
      <c r="A975" s="92">
        <v>22</v>
      </c>
      <c r="B975" s="93"/>
      <c r="C975" s="93" t="s">
        <v>2452</v>
      </c>
      <c r="D975" s="81" t="s">
        <v>2453</v>
      </c>
      <c r="E975" s="87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"/>
      <c r="Z975" s="9"/>
    </row>
    <row r="976" spans="1:26" ht="15.75" customHeight="1">
      <c r="A976" s="92">
        <v>23</v>
      </c>
      <c r="B976" s="93"/>
      <c r="C976" s="93" t="s">
        <v>2454</v>
      </c>
      <c r="D976" s="81" t="s">
        <v>2455</v>
      </c>
      <c r="E976" s="87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"/>
      <c r="Z976" s="9"/>
    </row>
    <row r="977" spans="1:26" ht="15.75" customHeight="1">
      <c r="A977" s="92">
        <v>24</v>
      </c>
      <c r="B977" s="93"/>
      <c r="C977" s="93" t="s">
        <v>2456</v>
      </c>
      <c r="D977" s="81" t="s">
        <v>2457</v>
      </c>
      <c r="E977" s="87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"/>
      <c r="Z977" s="9"/>
    </row>
    <row r="978" spans="1:26" ht="15.75" customHeight="1">
      <c r="A978" s="92">
        <v>25</v>
      </c>
      <c r="B978" s="93"/>
      <c r="C978" s="93" t="s">
        <v>2458</v>
      </c>
      <c r="D978" s="81" t="s">
        <v>2459</v>
      </c>
      <c r="E978" s="87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"/>
      <c r="Z978" s="9"/>
    </row>
    <row r="979" spans="1:26" ht="15.75" customHeight="1">
      <c r="A979" s="92">
        <v>26</v>
      </c>
      <c r="B979" s="93"/>
      <c r="C979" s="93" t="s">
        <v>2460</v>
      </c>
      <c r="D979" s="81" t="s">
        <v>2461</v>
      </c>
      <c r="E979" s="87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"/>
      <c r="Z979" s="9"/>
    </row>
    <row r="980" spans="1:26" ht="15.75" customHeight="1">
      <c r="A980" s="92">
        <v>27</v>
      </c>
      <c r="B980" s="93"/>
      <c r="C980" s="93" t="s">
        <v>2462</v>
      </c>
      <c r="D980" s="81" t="s">
        <v>2463</v>
      </c>
      <c r="E980" s="87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"/>
      <c r="Z980" s="9"/>
    </row>
    <row r="981" spans="1:26" ht="15.75" customHeight="1">
      <c r="A981" s="92">
        <v>28</v>
      </c>
      <c r="B981" s="93"/>
      <c r="C981" s="93" t="s">
        <v>2464</v>
      </c>
      <c r="D981" s="81" t="s">
        <v>2465</v>
      </c>
      <c r="E981" s="87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"/>
      <c r="Z981" s="9"/>
    </row>
    <row r="982" spans="1:26" ht="15.75" customHeight="1">
      <c r="A982" s="92">
        <v>29</v>
      </c>
      <c r="B982" s="93"/>
      <c r="C982" s="93" t="s">
        <v>2466</v>
      </c>
      <c r="D982" s="81" t="s">
        <v>2467</v>
      </c>
      <c r="E982" s="87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"/>
      <c r="Z982" s="9"/>
    </row>
    <row r="983" spans="1:26" ht="15.75" customHeight="1">
      <c r="A983" s="92">
        <v>30</v>
      </c>
      <c r="B983" s="93"/>
      <c r="C983" s="93" t="s">
        <v>2468</v>
      </c>
      <c r="D983" s="81" t="s">
        <v>2469</v>
      </c>
      <c r="E983" s="87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"/>
      <c r="Z983" s="9"/>
    </row>
    <row r="984" spans="1:26" ht="15.75" customHeight="1">
      <c r="A984" s="92">
        <v>31</v>
      </c>
      <c r="B984" s="93"/>
      <c r="C984" s="93" t="s">
        <v>2470</v>
      </c>
      <c r="D984" s="81" t="s">
        <v>2471</v>
      </c>
      <c r="E984" s="87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</row>
    <row r="985" spans="1:26" ht="15.75" customHeight="1">
      <c r="A985" s="92">
        <v>32</v>
      </c>
      <c r="B985" s="93"/>
      <c r="C985" s="93" t="s">
        <v>2472</v>
      </c>
      <c r="D985" s="81" t="s">
        <v>2473</v>
      </c>
      <c r="E985" s="87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</row>
    <row r="986" spans="1:26" ht="15.75" customHeight="1">
      <c r="A986" s="92">
        <v>33</v>
      </c>
      <c r="B986" s="93"/>
      <c r="C986" s="93" t="s">
        <v>2474</v>
      </c>
      <c r="D986" s="81" t="s">
        <v>2475</v>
      </c>
      <c r="E986" s="87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</row>
    <row r="987" spans="1:26" ht="15.75" customHeight="1">
      <c r="A987" s="92">
        <v>34</v>
      </c>
      <c r="B987" s="93"/>
      <c r="C987" s="93" t="s">
        <v>2476</v>
      </c>
      <c r="D987" s="81" t="s">
        <v>2477</v>
      </c>
      <c r="E987" s="87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</row>
    <row r="988" spans="1:26" ht="15.75" customHeight="1">
      <c r="A988" s="92">
        <v>35</v>
      </c>
      <c r="B988" s="93"/>
      <c r="C988" s="93"/>
      <c r="D988" s="81"/>
      <c r="E988" s="87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</row>
    <row r="989" spans="1:26" ht="15.75" customHeight="1">
      <c r="A989" s="92">
        <v>36</v>
      </c>
      <c r="B989" s="93"/>
      <c r="C989" s="93"/>
      <c r="D989" s="81"/>
      <c r="E989" s="87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</row>
    <row r="990" spans="1:26" ht="15.75" customHeight="1">
      <c r="A990" s="92">
        <v>37</v>
      </c>
      <c r="B990" s="93"/>
      <c r="C990" s="93"/>
      <c r="D990" s="81"/>
      <c r="E990" s="87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</row>
    <row r="991" spans="1:26" ht="15.75" customHeight="1">
      <c r="A991" s="92">
        <v>38</v>
      </c>
      <c r="B991" s="93"/>
      <c r="C991" s="93"/>
      <c r="D991" s="81"/>
      <c r="E991" s="87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</row>
    <row r="992" spans="1:26" ht="15.75" customHeight="1">
      <c r="A992" s="77"/>
      <c r="B992" s="79"/>
      <c r="C992" s="79"/>
      <c r="D992" s="66"/>
      <c r="E992" s="10"/>
    </row>
    <row r="993" spans="1:25">
      <c r="A993" s="3"/>
      <c r="B993" s="3"/>
      <c r="C993" s="3"/>
      <c r="D993" s="3" t="s">
        <v>864</v>
      </c>
      <c r="E993" s="10">
        <f>SUM(E994:E995)</f>
        <v>0</v>
      </c>
      <c r="G993" s="7"/>
      <c r="H993" s="7"/>
    </row>
    <row r="994" spans="1:25">
      <c r="A994" s="3"/>
      <c r="B994" s="3"/>
      <c r="C994" s="3"/>
      <c r="D994" s="43" t="s">
        <v>10</v>
      </c>
      <c r="E994" s="41">
        <f>COUNTIF(E954:E991,"L")</f>
        <v>0</v>
      </c>
      <c r="G994" s="2"/>
    </row>
    <row r="995" spans="1:25">
      <c r="A995" s="3"/>
      <c r="B995" s="3"/>
      <c r="C995" s="3"/>
      <c r="D995" s="43" t="s">
        <v>11</v>
      </c>
      <c r="E995" s="41">
        <f>COUNTIF(E954:E989,"P")</f>
        <v>0</v>
      </c>
      <c r="G995" s="2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1"/>
      <c r="S995" s="2"/>
      <c r="T995" s="2"/>
      <c r="U995" s="2"/>
      <c r="V995" s="2"/>
      <c r="W995" s="2"/>
      <c r="X995" s="3"/>
      <c r="Y995" s="2"/>
    </row>
    <row r="996" spans="1:25">
      <c r="A996" s="1" t="s">
        <v>12</v>
      </c>
      <c r="B996" s="1"/>
      <c r="C996" s="1"/>
      <c r="E996" s="1"/>
      <c r="F996" s="2"/>
      <c r="G996" s="2"/>
      <c r="H996" s="2"/>
      <c r="I996" s="3"/>
      <c r="J996" s="3"/>
      <c r="K996" s="3"/>
      <c r="L996" s="3"/>
      <c r="M996" s="3"/>
      <c r="N996" s="3"/>
      <c r="O996" s="3"/>
      <c r="P996" s="1" t="s">
        <v>1605</v>
      </c>
      <c r="Q996" s="2"/>
      <c r="T996" s="2"/>
      <c r="U996" s="2"/>
      <c r="V996" s="2"/>
      <c r="W996" s="2"/>
      <c r="X996" s="3"/>
      <c r="Y996" s="2"/>
    </row>
    <row r="997" spans="1:25">
      <c r="A997" s="1" t="s">
        <v>13</v>
      </c>
      <c r="B997" s="1"/>
      <c r="C997" s="1"/>
      <c r="E997" s="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1" t="s">
        <v>14</v>
      </c>
      <c r="Q997" s="3"/>
      <c r="S997" s="2"/>
      <c r="T997" s="2"/>
      <c r="U997" s="2"/>
      <c r="V997" s="2"/>
      <c r="W997" s="2"/>
      <c r="X997" s="3"/>
      <c r="Y997" s="2"/>
    </row>
    <row r="998" spans="1:25">
      <c r="A998" s="1"/>
      <c r="B998" s="1"/>
      <c r="C998" s="1"/>
      <c r="D998" s="1"/>
      <c r="E998" s="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"/>
      <c r="Q998" s="3"/>
      <c r="S998" s="2"/>
      <c r="T998" s="2"/>
      <c r="U998" s="2"/>
      <c r="V998" s="2"/>
      <c r="W998" s="2"/>
      <c r="X998" s="3"/>
      <c r="Y998" s="2"/>
    </row>
    <row r="999" spans="1:25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2"/>
      <c r="T999" s="2"/>
      <c r="U999" s="2"/>
      <c r="V999" s="2"/>
      <c r="W999" s="2"/>
      <c r="X999" s="2"/>
      <c r="Y999" s="2"/>
    </row>
    <row r="1000" spans="1:25" ht="15.75">
      <c r="A1000" s="8" t="s">
        <v>854</v>
      </c>
      <c r="B1000" s="8"/>
      <c r="C1000" s="8"/>
      <c r="D1000" s="8"/>
      <c r="E1000" s="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8" t="s">
        <v>16</v>
      </c>
      <c r="Q1000" s="8"/>
      <c r="S1000" s="2"/>
      <c r="T1000" s="9"/>
      <c r="U1000" s="9"/>
      <c r="V1000" s="9"/>
      <c r="W1000" s="9"/>
      <c r="X1000" s="9"/>
      <c r="Y1000" s="9"/>
    </row>
    <row r="1001" spans="1:25" ht="15.75">
      <c r="A1001" s="8" t="s">
        <v>855</v>
      </c>
      <c r="B1001" s="8"/>
      <c r="C1001" s="8"/>
      <c r="D1001" s="8"/>
      <c r="E1001" s="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8" t="s">
        <v>17</v>
      </c>
      <c r="Q1001" s="2"/>
      <c r="T1001" s="9"/>
      <c r="U1001" s="9"/>
      <c r="V1001" s="9"/>
    </row>
    <row r="1002" spans="1:25" ht="15.75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</row>
    <row r="1003" spans="1:25" ht="15.75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</row>
    <row r="1004" spans="1:25" ht="15.75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</row>
    <row r="1005" spans="1:25" ht="15.7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</row>
    <row r="1006" spans="1:25" ht="15.75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</row>
    <row r="1007" spans="1:25" ht="15.75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</row>
    <row r="1008" spans="1:25" ht="15.75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</row>
    <row r="1009" spans="1:25" ht="15.75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</row>
    <row r="1010" spans="1:25" ht="15.75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</row>
    <row r="1011" spans="1:25" ht="15.75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</row>
    <row r="1012" spans="1:25" ht="15.75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</row>
    <row r="1013" spans="1:25" ht="15.75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</row>
    <row r="1014" spans="1:25" ht="15.75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</row>
    <row r="1015" spans="1:25" ht="15.75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</row>
    <row r="1016" spans="1:25" ht="15.75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</row>
    <row r="1017" spans="1:25" ht="15.75">
      <c r="A1017" s="53"/>
      <c r="B1017" s="53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</row>
    <row r="1018" spans="1:25" ht="15.75" customHeight="1"/>
    <row r="1019" spans="1:25" ht="15.75" customHeight="1"/>
    <row r="1020" spans="1:25" ht="15.75" customHeight="1"/>
    <row r="1021" spans="1:25" ht="15.75" customHeight="1"/>
    <row r="1022" spans="1:25" ht="15.75" customHeight="1"/>
    <row r="1023" spans="1:25" ht="15.75" customHeight="1"/>
    <row r="1024" spans="1:25" ht="15.75" customHeight="1"/>
    <row r="1025" spans="1:26" ht="15.75" customHeight="1"/>
    <row r="1026" spans="1:26" ht="15.75" customHeight="1">
      <c r="A1026" s="211" t="s">
        <v>132</v>
      </c>
      <c r="B1026" s="211"/>
      <c r="C1026" s="211"/>
      <c r="D1026" s="211"/>
      <c r="E1026" s="211"/>
      <c r="F1026" s="211"/>
      <c r="G1026" s="211"/>
      <c r="H1026" s="211"/>
      <c r="I1026" s="211"/>
      <c r="J1026" s="211"/>
      <c r="K1026" s="211"/>
      <c r="L1026" s="211"/>
      <c r="M1026" s="211"/>
      <c r="N1026" s="211"/>
      <c r="O1026" s="211"/>
      <c r="P1026" s="211"/>
      <c r="Q1026" s="211"/>
      <c r="R1026" s="211"/>
      <c r="S1026" s="211"/>
      <c r="T1026" s="211"/>
      <c r="U1026" s="211"/>
      <c r="V1026" s="211"/>
      <c r="W1026" s="211"/>
      <c r="X1026" s="211"/>
    </row>
    <row r="1027" spans="1:26" ht="15.75" customHeight="1">
      <c r="A1027" s="211" t="s">
        <v>0</v>
      </c>
      <c r="B1027" s="211"/>
      <c r="C1027" s="211"/>
      <c r="D1027" s="211"/>
      <c r="E1027" s="211"/>
      <c r="F1027" s="211"/>
      <c r="G1027" s="211"/>
      <c r="H1027" s="211"/>
      <c r="I1027" s="211"/>
      <c r="J1027" s="211"/>
      <c r="K1027" s="211"/>
      <c r="L1027" s="211"/>
      <c r="M1027" s="211"/>
      <c r="N1027" s="211"/>
      <c r="O1027" s="211"/>
      <c r="P1027" s="211"/>
      <c r="Q1027" s="211"/>
      <c r="R1027" s="211"/>
      <c r="S1027" s="211"/>
      <c r="T1027" s="211"/>
      <c r="U1027" s="211"/>
      <c r="V1027" s="211"/>
      <c r="W1027" s="211"/>
      <c r="X1027" s="211"/>
      <c r="Y1027" s="8"/>
      <c r="Z1027" s="8"/>
    </row>
    <row r="1028" spans="1:26" ht="15.75" customHeight="1">
      <c r="Y1028" s="8"/>
      <c r="Z1028" s="8"/>
    </row>
    <row r="1029" spans="1:26" ht="15.75" customHeight="1">
      <c r="A1029" s="21" t="s">
        <v>133</v>
      </c>
      <c r="B1029" s="21"/>
      <c r="C1029" s="22" t="s">
        <v>2478</v>
      </c>
      <c r="D1029" s="23"/>
      <c r="E1029" s="23" t="s">
        <v>1623</v>
      </c>
      <c r="F1029" s="54"/>
      <c r="G1029" s="54"/>
      <c r="H1029" s="54"/>
      <c r="I1029" s="54"/>
      <c r="J1029" s="54"/>
      <c r="K1029" s="54"/>
      <c r="L1029" s="54" t="s">
        <v>1628</v>
      </c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8"/>
    </row>
    <row r="1030" spans="1:26" ht="15.75" customHeight="1">
      <c r="A1030" s="205" t="s">
        <v>134</v>
      </c>
      <c r="B1030" s="205"/>
      <c r="C1030" s="15" t="s">
        <v>21</v>
      </c>
      <c r="D1030" s="82"/>
      <c r="E1030" s="14" t="s">
        <v>1621</v>
      </c>
      <c r="F1030" s="82"/>
      <c r="G1030" s="82"/>
      <c r="H1030" s="82"/>
      <c r="I1030" s="82"/>
      <c r="J1030" s="82"/>
      <c r="K1030" s="16"/>
      <c r="L1030" s="82" t="s">
        <v>1629</v>
      </c>
      <c r="M1030" s="82"/>
      <c r="N1030" s="82"/>
      <c r="O1030" s="82"/>
      <c r="P1030" s="82"/>
      <c r="Q1030" s="82"/>
      <c r="R1030" s="82"/>
      <c r="S1030" s="82"/>
      <c r="T1030" s="82"/>
      <c r="U1030" s="82"/>
      <c r="V1030" s="82"/>
      <c r="W1030" s="82"/>
      <c r="X1030" s="82"/>
      <c r="Y1030" s="82"/>
      <c r="Z1030" s="8"/>
    </row>
    <row r="1031" spans="1:26" ht="15.75" customHeight="1">
      <c r="D1031" s="82"/>
      <c r="E1031" s="83" t="s">
        <v>1625</v>
      </c>
      <c r="F1031" s="82"/>
      <c r="G1031" s="82"/>
      <c r="H1031" s="82"/>
      <c r="I1031" s="82"/>
      <c r="J1031" s="82"/>
      <c r="K1031" s="82"/>
      <c r="L1031" s="82" t="s">
        <v>1629</v>
      </c>
      <c r="M1031" s="82"/>
      <c r="N1031" s="82"/>
      <c r="O1031" s="82"/>
      <c r="P1031" s="82"/>
      <c r="Q1031" s="82"/>
      <c r="R1031" s="82"/>
      <c r="S1031" s="82"/>
      <c r="T1031" s="82"/>
      <c r="U1031" s="82"/>
      <c r="V1031" s="82"/>
      <c r="W1031" s="82"/>
      <c r="X1031" s="82"/>
      <c r="Y1031" s="82"/>
      <c r="Z1031" s="8"/>
    </row>
    <row r="1032" spans="1:26" ht="15.75" customHeight="1">
      <c r="A1032" s="212" t="s">
        <v>136</v>
      </c>
      <c r="B1032" s="212"/>
      <c r="C1032" s="22" t="s">
        <v>2623</v>
      </c>
      <c r="D1032" s="54"/>
      <c r="E1032" s="23" t="s">
        <v>1627</v>
      </c>
      <c r="F1032" s="54"/>
      <c r="G1032" s="16"/>
      <c r="H1032" s="54"/>
      <c r="I1032" s="54"/>
      <c r="J1032" s="54"/>
      <c r="K1032" s="54" t="s">
        <v>1617</v>
      </c>
      <c r="L1032" s="54" t="s">
        <v>1618</v>
      </c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8"/>
    </row>
    <row r="1033" spans="1:26" ht="15.75" customHeight="1">
      <c r="A1033" s="21"/>
      <c r="B1033" s="21"/>
      <c r="C1033" s="22"/>
      <c r="D1033" s="54"/>
      <c r="E1033" s="23"/>
      <c r="F1033" s="54"/>
      <c r="G1033" s="16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8"/>
    </row>
    <row r="1034" spans="1:26" ht="15.75" customHeight="1">
      <c r="A1034" s="24"/>
      <c r="B1034" s="24"/>
      <c r="C1034" s="24"/>
      <c r="D1034" s="205" t="s">
        <v>1599</v>
      </c>
      <c r="E1034" s="205"/>
      <c r="F1034" s="205"/>
      <c r="G1034" s="205"/>
      <c r="H1034" s="205"/>
      <c r="I1034" s="205"/>
      <c r="J1034" s="205"/>
      <c r="K1034" s="205"/>
      <c r="L1034" s="205"/>
      <c r="M1034" s="205"/>
      <c r="N1034" s="205"/>
      <c r="O1034" s="205"/>
      <c r="P1034" s="205"/>
      <c r="Q1034" s="205"/>
      <c r="R1034" s="205"/>
      <c r="S1034" s="205"/>
      <c r="T1034" s="205"/>
      <c r="U1034" s="205"/>
      <c r="V1034" s="205"/>
      <c r="W1034" s="205"/>
      <c r="X1034" s="205"/>
      <c r="Y1034" s="205"/>
      <c r="Z1034" s="8"/>
    </row>
    <row r="1035" spans="1:26" ht="15.75" customHeight="1">
      <c r="A1035" s="206" t="s">
        <v>1</v>
      </c>
      <c r="B1035" s="206" t="s">
        <v>2</v>
      </c>
      <c r="C1035" s="206" t="s">
        <v>18</v>
      </c>
      <c r="D1035" s="206" t="s">
        <v>137</v>
      </c>
      <c r="E1035" s="213" t="s">
        <v>3</v>
      </c>
      <c r="F1035" s="208" t="s">
        <v>4</v>
      </c>
      <c r="G1035" s="209"/>
      <c r="H1035" s="209"/>
      <c r="I1035" s="209"/>
      <c r="J1035" s="209"/>
      <c r="K1035" s="209"/>
      <c r="L1035" s="209"/>
      <c r="M1035" s="209"/>
      <c r="N1035" s="209"/>
      <c r="O1035" s="209"/>
      <c r="P1035" s="209"/>
      <c r="Q1035" s="209"/>
      <c r="R1035" s="209"/>
      <c r="S1035" s="209"/>
      <c r="T1035" s="209"/>
      <c r="U1035" s="210"/>
      <c r="V1035" s="208" t="s">
        <v>5</v>
      </c>
      <c r="W1035" s="209"/>
      <c r="X1035" s="210"/>
    </row>
    <row r="1036" spans="1:26" ht="15.75" customHeight="1">
      <c r="A1036" s="207"/>
      <c r="B1036" s="207"/>
      <c r="C1036" s="207"/>
      <c r="D1036" s="207"/>
      <c r="E1036" s="214"/>
      <c r="F1036" s="91">
        <v>1</v>
      </c>
      <c r="G1036" s="91">
        <v>2</v>
      </c>
      <c r="H1036" s="91">
        <v>3</v>
      </c>
      <c r="I1036" s="91">
        <v>4</v>
      </c>
      <c r="J1036" s="91">
        <v>5</v>
      </c>
      <c r="K1036" s="91">
        <v>6</v>
      </c>
      <c r="L1036" s="91">
        <v>7</v>
      </c>
      <c r="M1036" s="91">
        <v>8</v>
      </c>
      <c r="N1036" s="91">
        <v>9</v>
      </c>
      <c r="O1036" s="91">
        <v>10</v>
      </c>
      <c r="P1036" s="91">
        <v>11</v>
      </c>
      <c r="Q1036" s="91">
        <v>12</v>
      </c>
      <c r="R1036" s="91">
        <v>13</v>
      </c>
      <c r="S1036" s="91">
        <v>14</v>
      </c>
      <c r="T1036" s="91">
        <v>15</v>
      </c>
      <c r="U1036" s="91">
        <v>16</v>
      </c>
      <c r="V1036" s="91" t="s">
        <v>6</v>
      </c>
      <c r="W1036" s="91" t="s">
        <v>7</v>
      </c>
      <c r="X1036" s="91" t="s">
        <v>8</v>
      </c>
      <c r="Y1036" s="9"/>
      <c r="Z1036" s="9"/>
    </row>
    <row r="1037" spans="1:26" ht="15.75" customHeight="1">
      <c r="A1037" s="48"/>
      <c r="B1037" s="48"/>
      <c r="C1037" s="48"/>
      <c r="D1037" s="48"/>
      <c r="E1037" s="49"/>
      <c r="F1037" s="91"/>
      <c r="G1037" s="91"/>
      <c r="H1037" s="91"/>
      <c r="I1037" s="91"/>
      <c r="J1037" s="91"/>
      <c r="K1037" s="91"/>
      <c r="L1037" s="91"/>
      <c r="M1037" s="91"/>
      <c r="N1037" s="91"/>
      <c r="O1037" s="91"/>
      <c r="P1037" s="91"/>
      <c r="Q1037" s="91"/>
      <c r="R1037" s="91"/>
      <c r="S1037" s="91"/>
      <c r="T1037" s="91"/>
      <c r="U1037" s="91"/>
      <c r="V1037" s="91"/>
      <c r="W1037" s="91"/>
      <c r="X1037" s="91"/>
      <c r="Y1037" s="9"/>
      <c r="Z1037" s="9"/>
    </row>
    <row r="1038" spans="1:26" ht="15.75" customHeight="1">
      <c r="A1038" s="92">
        <v>1</v>
      </c>
      <c r="B1038" s="93"/>
      <c r="C1038" s="93" t="s">
        <v>2479</v>
      </c>
      <c r="D1038" s="81" t="s">
        <v>2480</v>
      </c>
      <c r="E1038" s="87"/>
      <c r="F1038" s="94"/>
      <c r="G1038" s="94"/>
      <c r="H1038" s="94"/>
      <c r="I1038" s="94"/>
      <c r="J1038" s="94"/>
      <c r="K1038" s="94"/>
      <c r="L1038" s="94"/>
      <c r="M1038" s="94"/>
      <c r="N1038" s="94"/>
      <c r="O1038" s="94"/>
      <c r="P1038" s="94"/>
      <c r="Q1038" s="94"/>
      <c r="R1038" s="94"/>
      <c r="S1038" s="94"/>
      <c r="T1038" s="94"/>
      <c r="U1038" s="94"/>
      <c r="V1038" s="94"/>
      <c r="W1038" s="94"/>
      <c r="X1038" s="94"/>
      <c r="Y1038" s="9"/>
      <c r="Z1038" s="9"/>
    </row>
    <row r="1039" spans="1:26" ht="15.75" customHeight="1">
      <c r="A1039" s="92">
        <v>2</v>
      </c>
      <c r="B1039" s="93"/>
      <c r="C1039" s="93" t="s">
        <v>2481</v>
      </c>
      <c r="D1039" s="81" t="s">
        <v>2482</v>
      </c>
      <c r="E1039" s="87"/>
      <c r="F1039" s="94"/>
      <c r="G1039" s="94"/>
      <c r="H1039" s="94"/>
      <c r="I1039" s="94"/>
      <c r="J1039" s="94"/>
      <c r="K1039" s="94"/>
      <c r="L1039" s="94"/>
      <c r="M1039" s="94"/>
      <c r="N1039" s="94"/>
      <c r="O1039" s="94"/>
      <c r="P1039" s="94"/>
      <c r="Q1039" s="94"/>
      <c r="R1039" s="94"/>
      <c r="S1039" s="94"/>
      <c r="T1039" s="94"/>
      <c r="U1039" s="94"/>
      <c r="V1039" s="94"/>
      <c r="W1039" s="94"/>
      <c r="X1039" s="94"/>
      <c r="Y1039" s="9"/>
      <c r="Z1039" s="9"/>
    </row>
    <row r="1040" spans="1:26" ht="15.75" customHeight="1">
      <c r="A1040" s="92">
        <v>3</v>
      </c>
      <c r="B1040" s="93"/>
      <c r="C1040" s="93" t="s">
        <v>2483</v>
      </c>
      <c r="D1040" s="81" t="s">
        <v>2484</v>
      </c>
      <c r="E1040" s="87"/>
      <c r="F1040" s="94"/>
      <c r="G1040" s="94"/>
      <c r="H1040" s="94"/>
      <c r="I1040" s="94"/>
      <c r="J1040" s="94"/>
      <c r="K1040" s="94"/>
      <c r="L1040" s="94"/>
      <c r="M1040" s="94"/>
      <c r="N1040" s="94"/>
      <c r="O1040" s="94"/>
      <c r="P1040" s="94"/>
      <c r="Q1040" s="94"/>
      <c r="R1040" s="94"/>
      <c r="S1040" s="94"/>
      <c r="T1040" s="94"/>
      <c r="U1040" s="94"/>
      <c r="V1040" s="94"/>
      <c r="W1040" s="94"/>
      <c r="X1040" s="94"/>
      <c r="Y1040" s="9"/>
      <c r="Z1040" s="9"/>
    </row>
    <row r="1041" spans="1:26" ht="15.75" customHeight="1">
      <c r="A1041" s="92">
        <v>4</v>
      </c>
      <c r="B1041" s="93"/>
      <c r="C1041" s="93" t="s">
        <v>2485</v>
      </c>
      <c r="D1041" s="81" t="s">
        <v>2486</v>
      </c>
      <c r="E1041" s="87"/>
      <c r="F1041" s="94"/>
      <c r="G1041" s="94"/>
      <c r="H1041" s="94"/>
      <c r="I1041" s="94"/>
      <c r="J1041" s="94"/>
      <c r="K1041" s="94"/>
      <c r="L1041" s="94"/>
      <c r="M1041" s="94"/>
      <c r="N1041" s="94"/>
      <c r="O1041" s="94"/>
      <c r="P1041" s="94"/>
      <c r="Q1041" s="94"/>
      <c r="R1041" s="94"/>
      <c r="S1041" s="94"/>
      <c r="T1041" s="94"/>
      <c r="U1041" s="94"/>
      <c r="V1041" s="94"/>
      <c r="W1041" s="94"/>
      <c r="X1041" s="94"/>
      <c r="Y1041" s="9"/>
      <c r="Z1041" s="9"/>
    </row>
    <row r="1042" spans="1:26" ht="15.75" customHeight="1">
      <c r="A1042" s="92">
        <v>5</v>
      </c>
      <c r="B1042" s="93"/>
      <c r="C1042" s="93" t="s">
        <v>2487</v>
      </c>
      <c r="D1042" s="81" t="s">
        <v>2488</v>
      </c>
      <c r="E1042" s="87"/>
      <c r="F1042" s="94"/>
      <c r="G1042" s="94"/>
      <c r="H1042" s="94"/>
      <c r="I1042" s="94"/>
      <c r="J1042" s="94"/>
      <c r="K1042" s="94"/>
      <c r="L1042" s="94"/>
      <c r="M1042" s="94"/>
      <c r="N1042" s="94"/>
      <c r="O1042" s="94"/>
      <c r="P1042" s="94"/>
      <c r="Q1042" s="94"/>
      <c r="R1042" s="94"/>
      <c r="S1042" s="94"/>
      <c r="T1042" s="94"/>
      <c r="U1042" s="94"/>
      <c r="V1042" s="94"/>
      <c r="W1042" s="94"/>
      <c r="X1042" s="94"/>
      <c r="Y1042" s="9"/>
      <c r="Z1042" s="9"/>
    </row>
    <row r="1043" spans="1:26" ht="15.75" customHeight="1">
      <c r="A1043" s="92">
        <v>6</v>
      </c>
      <c r="B1043" s="93"/>
      <c r="C1043" s="93" t="s">
        <v>2489</v>
      </c>
      <c r="D1043" s="81" t="s">
        <v>2490</v>
      </c>
      <c r="E1043" s="87"/>
      <c r="F1043" s="94"/>
      <c r="G1043" s="94"/>
      <c r="H1043" s="94"/>
      <c r="I1043" s="94"/>
      <c r="J1043" s="94"/>
      <c r="K1043" s="94"/>
      <c r="L1043" s="94"/>
      <c r="M1043" s="94"/>
      <c r="N1043" s="94"/>
      <c r="O1043" s="94"/>
      <c r="P1043" s="94"/>
      <c r="Q1043" s="94"/>
      <c r="R1043" s="94"/>
      <c r="S1043" s="94"/>
      <c r="T1043" s="94"/>
      <c r="U1043" s="94"/>
      <c r="V1043" s="94"/>
      <c r="W1043" s="94"/>
      <c r="X1043" s="94"/>
      <c r="Y1043" s="9"/>
      <c r="Z1043" s="9"/>
    </row>
    <row r="1044" spans="1:26" ht="15.75" customHeight="1">
      <c r="A1044" s="92">
        <v>7</v>
      </c>
      <c r="B1044" s="93"/>
      <c r="C1044" s="93" t="s">
        <v>2491</v>
      </c>
      <c r="D1044" s="81" t="s">
        <v>2492</v>
      </c>
      <c r="E1044" s="87"/>
      <c r="F1044" s="94"/>
      <c r="G1044" s="94"/>
      <c r="H1044" s="94"/>
      <c r="I1044" s="94"/>
      <c r="J1044" s="94"/>
      <c r="K1044" s="94"/>
      <c r="L1044" s="94"/>
      <c r="M1044" s="94"/>
      <c r="N1044" s="94"/>
      <c r="O1044" s="94"/>
      <c r="P1044" s="94"/>
      <c r="Q1044" s="94"/>
      <c r="R1044" s="94"/>
      <c r="S1044" s="94"/>
      <c r="T1044" s="94"/>
      <c r="U1044" s="94"/>
      <c r="V1044" s="94"/>
      <c r="W1044" s="94"/>
      <c r="X1044" s="94"/>
      <c r="Y1044" s="9"/>
      <c r="Z1044" s="9"/>
    </row>
    <row r="1045" spans="1:26" ht="15.75" customHeight="1">
      <c r="A1045" s="92">
        <v>8</v>
      </c>
      <c r="B1045" s="93"/>
      <c r="C1045" s="93" t="s">
        <v>2493</v>
      </c>
      <c r="D1045" s="81" t="s">
        <v>2494</v>
      </c>
      <c r="E1045" s="87"/>
      <c r="F1045" s="94"/>
      <c r="G1045" s="94"/>
      <c r="H1045" s="94"/>
      <c r="I1045" s="94"/>
      <c r="J1045" s="94"/>
      <c r="K1045" s="94"/>
      <c r="L1045" s="94"/>
      <c r="M1045" s="94"/>
      <c r="N1045" s="94"/>
      <c r="O1045" s="94"/>
      <c r="P1045" s="94"/>
      <c r="Q1045" s="94"/>
      <c r="R1045" s="94"/>
      <c r="S1045" s="94"/>
      <c r="T1045" s="94"/>
      <c r="U1045" s="94"/>
      <c r="V1045" s="94"/>
      <c r="W1045" s="94"/>
      <c r="X1045" s="94"/>
      <c r="Y1045" s="9"/>
      <c r="Z1045" s="9"/>
    </row>
    <row r="1046" spans="1:26" ht="15.75" customHeight="1">
      <c r="A1046" s="92">
        <v>9</v>
      </c>
      <c r="B1046" s="93"/>
      <c r="C1046" s="93" t="s">
        <v>2495</v>
      </c>
      <c r="D1046" s="81" t="s">
        <v>2496</v>
      </c>
      <c r="E1046" s="87"/>
      <c r="F1046" s="94"/>
      <c r="G1046" s="94"/>
      <c r="H1046" s="94"/>
      <c r="I1046" s="94"/>
      <c r="J1046" s="94"/>
      <c r="K1046" s="94"/>
      <c r="L1046" s="94"/>
      <c r="M1046" s="94"/>
      <c r="N1046" s="94"/>
      <c r="O1046" s="94"/>
      <c r="P1046" s="94"/>
      <c r="Q1046" s="94"/>
      <c r="R1046" s="94"/>
      <c r="S1046" s="94"/>
      <c r="T1046" s="94"/>
      <c r="U1046" s="94"/>
      <c r="V1046" s="94"/>
      <c r="W1046" s="94"/>
      <c r="X1046" s="94"/>
      <c r="Y1046" s="9"/>
      <c r="Z1046" s="9"/>
    </row>
    <row r="1047" spans="1:26" ht="15.75" customHeight="1">
      <c r="A1047" s="92">
        <v>10</v>
      </c>
      <c r="B1047" s="93"/>
      <c r="C1047" s="93" t="s">
        <v>2350</v>
      </c>
      <c r="D1047" s="81" t="s">
        <v>2351</v>
      </c>
      <c r="E1047" s="87"/>
      <c r="F1047" s="94"/>
      <c r="G1047" s="94"/>
      <c r="H1047" s="94"/>
      <c r="I1047" s="94"/>
      <c r="J1047" s="94"/>
      <c r="K1047" s="94"/>
      <c r="L1047" s="94"/>
      <c r="M1047" s="94"/>
      <c r="N1047" s="94"/>
      <c r="O1047" s="94"/>
      <c r="P1047" s="94"/>
      <c r="Q1047" s="94"/>
      <c r="R1047" s="94"/>
      <c r="S1047" s="94"/>
      <c r="T1047" s="94"/>
      <c r="U1047" s="94"/>
      <c r="V1047" s="94"/>
      <c r="W1047" s="94"/>
      <c r="X1047" s="94"/>
      <c r="Y1047" s="9"/>
      <c r="Z1047" s="9"/>
    </row>
    <row r="1048" spans="1:26" ht="15.75" customHeight="1">
      <c r="A1048" s="92">
        <v>11</v>
      </c>
      <c r="B1048" s="93"/>
      <c r="C1048" s="93" t="s">
        <v>2499</v>
      </c>
      <c r="D1048" s="81" t="s">
        <v>2500</v>
      </c>
      <c r="E1048" s="87"/>
      <c r="F1048" s="94"/>
      <c r="G1048" s="94"/>
      <c r="H1048" s="94"/>
      <c r="I1048" s="94"/>
      <c r="J1048" s="94"/>
      <c r="K1048" s="94"/>
      <c r="L1048" s="94"/>
      <c r="M1048" s="94"/>
      <c r="N1048" s="94"/>
      <c r="O1048" s="94"/>
      <c r="P1048" s="94"/>
      <c r="Q1048" s="94"/>
      <c r="R1048" s="94"/>
      <c r="S1048" s="94"/>
      <c r="T1048" s="94"/>
      <c r="U1048" s="94"/>
      <c r="V1048" s="94"/>
      <c r="W1048" s="94"/>
      <c r="X1048" s="94"/>
      <c r="Y1048" s="9"/>
      <c r="Z1048" s="9"/>
    </row>
    <row r="1049" spans="1:26" ht="15.75" customHeight="1">
      <c r="A1049" s="92">
        <v>12</v>
      </c>
      <c r="B1049" s="93"/>
      <c r="C1049" s="93" t="s">
        <v>2501</v>
      </c>
      <c r="D1049" s="81" t="s">
        <v>2502</v>
      </c>
      <c r="E1049" s="87"/>
      <c r="F1049" s="94"/>
      <c r="G1049" s="94"/>
      <c r="H1049" s="94"/>
      <c r="I1049" s="94"/>
      <c r="J1049" s="94"/>
      <c r="K1049" s="94"/>
      <c r="L1049" s="94"/>
      <c r="M1049" s="94"/>
      <c r="N1049" s="94"/>
      <c r="O1049" s="94"/>
      <c r="P1049" s="94"/>
      <c r="Q1049" s="94"/>
      <c r="R1049" s="94"/>
      <c r="S1049" s="94"/>
      <c r="T1049" s="94"/>
      <c r="U1049" s="94"/>
      <c r="V1049" s="94"/>
      <c r="W1049" s="94"/>
      <c r="X1049" s="94"/>
      <c r="Y1049" s="9"/>
      <c r="Z1049" s="9"/>
    </row>
    <row r="1050" spans="1:26" ht="15.75" customHeight="1">
      <c r="A1050" s="92">
        <v>13</v>
      </c>
      <c r="B1050" s="93"/>
      <c r="C1050" s="93" t="s">
        <v>2566</v>
      </c>
      <c r="D1050" s="81" t="s">
        <v>2567</v>
      </c>
      <c r="E1050" s="87"/>
      <c r="F1050" s="94"/>
      <c r="G1050" s="94"/>
      <c r="H1050" s="94"/>
      <c r="I1050" s="94"/>
      <c r="J1050" s="94"/>
      <c r="K1050" s="94"/>
      <c r="L1050" s="94"/>
      <c r="M1050" s="94"/>
      <c r="N1050" s="94"/>
      <c r="O1050" s="94"/>
      <c r="P1050" s="94"/>
      <c r="Q1050" s="94"/>
      <c r="R1050" s="94"/>
      <c r="S1050" s="94"/>
      <c r="T1050" s="94"/>
      <c r="U1050" s="94"/>
      <c r="V1050" s="94"/>
      <c r="W1050" s="94"/>
      <c r="X1050" s="94"/>
      <c r="Y1050" s="9"/>
      <c r="Z1050" s="9"/>
    </row>
    <row r="1051" spans="1:26" ht="15.75" customHeight="1">
      <c r="A1051" s="92">
        <v>14</v>
      </c>
      <c r="B1051" s="93"/>
      <c r="C1051" s="93" t="s">
        <v>2503</v>
      </c>
      <c r="D1051" s="81" t="s">
        <v>2504</v>
      </c>
      <c r="E1051" s="87"/>
      <c r="F1051" s="94"/>
      <c r="G1051" s="94"/>
      <c r="H1051" s="94"/>
      <c r="I1051" s="94"/>
      <c r="J1051" s="94"/>
      <c r="K1051" s="94"/>
      <c r="L1051" s="94"/>
      <c r="M1051" s="94"/>
      <c r="N1051" s="94"/>
      <c r="O1051" s="94"/>
      <c r="P1051" s="94"/>
      <c r="Q1051" s="94"/>
      <c r="R1051" s="94"/>
      <c r="S1051" s="94"/>
      <c r="T1051" s="94"/>
      <c r="U1051" s="94"/>
      <c r="V1051" s="94"/>
      <c r="W1051" s="94"/>
      <c r="X1051" s="94"/>
      <c r="Y1051" s="9"/>
      <c r="Z1051" s="9"/>
    </row>
    <row r="1052" spans="1:26" ht="15.75" customHeight="1">
      <c r="A1052" s="92">
        <v>15</v>
      </c>
      <c r="B1052" s="93"/>
      <c r="C1052" s="93" t="s">
        <v>2505</v>
      </c>
      <c r="D1052" s="81" t="s">
        <v>2506</v>
      </c>
      <c r="E1052" s="87"/>
      <c r="F1052" s="94"/>
      <c r="G1052" s="94"/>
      <c r="H1052" s="94"/>
      <c r="I1052" s="94"/>
      <c r="J1052" s="94"/>
      <c r="K1052" s="94"/>
      <c r="L1052" s="94"/>
      <c r="M1052" s="94"/>
      <c r="N1052" s="94"/>
      <c r="O1052" s="94"/>
      <c r="P1052" s="94"/>
      <c r="Q1052" s="94"/>
      <c r="R1052" s="94"/>
      <c r="S1052" s="94"/>
      <c r="T1052" s="94"/>
      <c r="U1052" s="94"/>
      <c r="V1052" s="94"/>
      <c r="W1052" s="94"/>
      <c r="X1052" s="94"/>
      <c r="Y1052" s="9"/>
      <c r="Z1052" s="9"/>
    </row>
    <row r="1053" spans="1:26" ht="15.75" customHeight="1">
      <c r="A1053" s="92">
        <v>16</v>
      </c>
      <c r="B1053" s="93"/>
      <c r="C1053" s="93" t="s">
        <v>2507</v>
      </c>
      <c r="D1053" s="81" t="s">
        <v>2508</v>
      </c>
      <c r="E1053" s="87"/>
      <c r="F1053" s="94"/>
      <c r="G1053" s="94"/>
      <c r="H1053" s="94"/>
      <c r="I1053" s="94"/>
      <c r="J1053" s="94"/>
      <c r="K1053" s="94"/>
      <c r="L1053" s="94"/>
      <c r="M1053" s="94"/>
      <c r="N1053" s="94"/>
      <c r="O1053" s="94"/>
      <c r="P1053" s="94"/>
      <c r="Q1053" s="94"/>
      <c r="R1053" s="94"/>
      <c r="S1053" s="94"/>
      <c r="T1053" s="94"/>
      <c r="U1053" s="94"/>
      <c r="V1053" s="94"/>
      <c r="W1053" s="94"/>
      <c r="X1053" s="94"/>
      <c r="Y1053" s="9"/>
      <c r="Z1053" s="9"/>
    </row>
    <row r="1054" spans="1:26" ht="15.75" customHeight="1">
      <c r="A1054" s="92">
        <v>17</v>
      </c>
      <c r="B1054" s="93"/>
      <c r="C1054" s="93" t="s">
        <v>2509</v>
      </c>
      <c r="D1054" s="81" t="s">
        <v>2510</v>
      </c>
      <c r="E1054" s="87"/>
      <c r="F1054" s="94"/>
      <c r="G1054" s="94"/>
      <c r="H1054" s="94"/>
      <c r="I1054" s="94"/>
      <c r="J1054" s="94"/>
      <c r="K1054" s="94"/>
      <c r="L1054" s="94"/>
      <c r="M1054" s="94"/>
      <c r="N1054" s="94"/>
      <c r="O1054" s="94"/>
      <c r="P1054" s="94"/>
      <c r="Q1054" s="94"/>
      <c r="R1054" s="94"/>
      <c r="S1054" s="94"/>
      <c r="T1054" s="94"/>
      <c r="U1054" s="94"/>
      <c r="V1054" s="94"/>
      <c r="W1054" s="94"/>
      <c r="X1054" s="94"/>
      <c r="Y1054" s="9"/>
      <c r="Z1054" s="9"/>
    </row>
    <row r="1055" spans="1:26" ht="15.75" customHeight="1">
      <c r="A1055" s="92">
        <v>18</v>
      </c>
      <c r="B1055" s="93"/>
      <c r="C1055" s="93" t="s">
        <v>2511</v>
      </c>
      <c r="D1055" s="81" t="s">
        <v>2512</v>
      </c>
      <c r="E1055" s="87"/>
      <c r="F1055" s="94"/>
      <c r="G1055" s="94"/>
      <c r="H1055" s="94"/>
      <c r="I1055" s="94"/>
      <c r="J1055" s="94"/>
      <c r="K1055" s="94"/>
      <c r="L1055" s="94"/>
      <c r="M1055" s="94"/>
      <c r="N1055" s="94"/>
      <c r="O1055" s="94"/>
      <c r="P1055" s="94"/>
      <c r="Q1055" s="94"/>
      <c r="R1055" s="94"/>
      <c r="S1055" s="94"/>
      <c r="T1055" s="94"/>
      <c r="U1055" s="94"/>
      <c r="V1055" s="94"/>
      <c r="W1055" s="94"/>
      <c r="X1055" s="94"/>
      <c r="Y1055" s="9"/>
      <c r="Z1055" s="9"/>
    </row>
    <row r="1056" spans="1:26" ht="15.75" customHeight="1">
      <c r="A1056" s="92">
        <v>19</v>
      </c>
      <c r="B1056" s="93"/>
      <c r="C1056" s="93" t="s">
        <v>2513</v>
      </c>
      <c r="D1056" s="81" t="s">
        <v>2514</v>
      </c>
      <c r="E1056" s="87"/>
      <c r="F1056" s="94"/>
      <c r="G1056" s="94"/>
      <c r="H1056" s="94"/>
      <c r="I1056" s="94"/>
      <c r="J1056" s="94"/>
      <c r="K1056" s="94"/>
      <c r="L1056" s="94"/>
      <c r="M1056" s="94"/>
      <c r="N1056" s="94"/>
      <c r="O1056" s="94"/>
      <c r="P1056" s="94"/>
      <c r="Q1056" s="94"/>
      <c r="R1056" s="94"/>
      <c r="S1056" s="94"/>
      <c r="T1056" s="94"/>
      <c r="U1056" s="94"/>
      <c r="V1056" s="94"/>
      <c r="W1056" s="94"/>
      <c r="X1056" s="94"/>
      <c r="Y1056" s="9"/>
      <c r="Z1056" s="9"/>
    </row>
    <row r="1057" spans="1:26" ht="15.75" customHeight="1">
      <c r="A1057" s="92">
        <v>20</v>
      </c>
      <c r="B1057" s="93"/>
      <c r="C1057" s="93" t="s">
        <v>2515</v>
      </c>
      <c r="D1057" s="81" t="s">
        <v>2516</v>
      </c>
      <c r="E1057" s="87"/>
      <c r="F1057" s="94"/>
      <c r="G1057" s="94"/>
      <c r="H1057" s="94"/>
      <c r="I1057" s="94"/>
      <c r="J1057" s="94"/>
      <c r="K1057" s="94"/>
      <c r="L1057" s="94"/>
      <c r="M1057" s="94"/>
      <c r="N1057" s="94"/>
      <c r="O1057" s="94"/>
      <c r="P1057" s="94"/>
      <c r="Q1057" s="94"/>
      <c r="R1057" s="94"/>
      <c r="S1057" s="94"/>
      <c r="T1057" s="94"/>
      <c r="U1057" s="94"/>
      <c r="V1057" s="94"/>
      <c r="W1057" s="94"/>
      <c r="X1057" s="94"/>
      <c r="Y1057" s="9"/>
      <c r="Z1057" s="9"/>
    </row>
    <row r="1058" spans="1:26" ht="15.75" customHeight="1">
      <c r="A1058" s="92">
        <v>21</v>
      </c>
      <c r="B1058" s="93"/>
      <c r="C1058" s="93" t="s">
        <v>2517</v>
      </c>
      <c r="D1058" s="81" t="s">
        <v>2518</v>
      </c>
      <c r="E1058" s="87"/>
      <c r="F1058" s="94"/>
      <c r="G1058" s="94"/>
      <c r="H1058" s="94"/>
      <c r="I1058" s="94"/>
      <c r="J1058" s="94"/>
      <c r="K1058" s="94"/>
      <c r="L1058" s="94"/>
      <c r="M1058" s="94"/>
      <c r="N1058" s="94"/>
      <c r="O1058" s="94"/>
      <c r="P1058" s="94"/>
      <c r="Q1058" s="94"/>
      <c r="R1058" s="94"/>
      <c r="S1058" s="94"/>
      <c r="T1058" s="94"/>
      <c r="U1058" s="94"/>
      <c r="V1058" s="94"/>
      <c r="W1058" s="94"/>
      <c r="X1058" s="94"/>
      <c r="Y1058" s="9"/>
      <c r="Z1058" s="9"/>
    </row>
    <row r="1059" spans="1:26" ht="15.75" customHeight="1">
      <c r="A1059" s="92">
        <v>22</v>
      </c>
      <c r="B1059" s="93"/>
      <c r="C1059" s="93" t="s">
        <v>2519</v>
      </c>
      <c r="D1059" s="81" t="s">
        <v>2520</v>
      </c>
      <c r="E1059" s="87"/>
      <c r="F1059" s="94"/>
      <c r="G1059" s="94"/>
      <c r="H1059" s="94"/>
      <c r="I1059" s="94"/>
      <c r="J1059" s="94"/>
      <c r="K1059" s="94"/>
      <c r="L1059" s="94"/>
      <c r="M1059" s="94"/>
      <c r="N1059" s="94"/>
      <c r="O1059" s="94"/>
      <c r="P1059" s="94"/>
      <c r="Q1059" s="94"/>
      <c r="R1059" s="94"/>
      <c r="S1059" s="94"/>
      <c r="T1059" s="94"/>
      <c r="U1059" s="94"/>
      <c r="V1059" s="94"/>
      <c r="W1059" s="94"/>
      <c r="X1059" s="94"/>
      <c r="Y1059" s="9"/>
      <c r="Z1059" s="9"/>
    </row>
    <row r="1060" spans="1:26" ht="15.75" customHeight="1">
      <c r="A1060" s="92">
        <v>23</v>
      </c>
      <c r="B1060" s="93"/>
      <c r="C1060" s="93" t="s">
        <v>2521</v>
      </c>
      <c r="D1060" s="81" t="s">
        <v>2522</v>
      </c>
      <c r="E1060" s="87"/>
      <c r="F1060" s="94"/>
      <c r="G1060" s="94"/>
      <c r="H1060" s="94"/>
      <c r="I1060" s="94"/>
      <c r="J1060" s="94"/>
      <c r="K1060" s="94"/>
      <c r="L1060" s="94"/>
      <c r="M1060" s="94"/>
      <c r="N1060" s="94"/>
      <c r="O1060" s="94"/>
      <c r="P1060" s="94"/>
      <c r="Q1060" s="94"/>
      <c r="R1060" s="94"/>
      <c r="S1060" s="94"/>
      <c r="T1060" s="94"/>
      <c r="U1060" s="94"/>
      <c r="V1060" s="94"/>
      <c r="W1060" s="94"/>
      <c r="X1060" s="94"/>
      <c r="Y1060" s="9"/>
      <c r="Z1060" s="9"/>
    </row>
    <row r="1061" spans="1:26" ht="15.75" customHeight="1">
      <c r="A1061" s="92">
        <v>24</v>
      </c>
      <c r="B1061" s="93"/>
      <c r="C1061" s="93" t="s">
        <v>2523</v>
      </c>
      <c r="D1061" s="81" t="s">
        <v>2524</v>
      </c>
      <c r="E1061" s="87"/>
      <c r="F1061" s="94"/>
      <c r="G1061" s="94"/>
      <c r="H1061" s="94"/>
      <c r="I1061" s="94"/>
      <c r="J1061" s="94"/>
      <c r="K1061" s="94"/>
      <c r="L1061" s="94"/>
      <c r="M1061" s="94"/>
      <c r="N1061" s="94"/>
      <c r="O1061" s="94"/>
      <c r="P1061" s="94"/>
      <c r="Q1061" s="94"/>
      <c r="R1061" s="94"/>
      <c r="S1061" s="94"/>
      <c r="T1061" s="94"/>
      <c r="U1061" s="94"/>
      <c r="V1061" s="94"/>
      <c r="W1061" s="94"/>
      <c r="X1061" s="94"/>
      <c r="Y1061" s="9"/>
      <c r="Z1061" s="9"/>
    </row>
    <row r="1062" spans="1:26" ht="15.75" customHeight="1">
      <c r="A1062" s="92">
        <v>25</v>
      </c>
      <c r="B1062" s="93"/>
      <c r="C1062" s="93" t="s">
        <v>2525</v>
      </c>
      <c r="D1062" s="81" t="s">
        <v>2526</v>
      </c>
      <c r="E1062" s="87"/>
      <c r="F1062" s="94"/>
      <c r="G1062" s="94"/>
      <c r="H1062" s="94"/>
      <c r="I1062" s="94"/>
      <c r="J1062" s="94"/>
      <c r="K1062" s="94"/>
      <c r="L1062" s="94"/>
      <c r="M1062" s="94"/>
      <c r="N1062" s="94"/>
      <c r="O1062" s="94"/>
      <c r="P1062" s="94"/>
      <c r="Q1062" s="94"/>
      <c r="R1062" s="94"/>
      <c r="S1062" s="94"/>
      <c r="T1062" s="94"/>
      <c r="U1062" s="94"/>
      <c r="V1062" s="94"/>
      <c r="W1062" s="94"/>
      <c r="X1062" s="94"/>
      <c r="Y1062" s="9"/>
      <c r="Z1062" s="9"/>
    </row>
    <row r="1063" spans="1:26" ht="15.75" customHeight="1">
      <c r="A1063" s="92">
        <v>26</v>
      </c>
      <c r="B1063" s="93"/>
      <c r="C1063" s="93" t="s">
        <v>2527</v>
      </c>
      <c r="D1063" s="81" t="s">
        <v>2528</v>
      </c>
      <c r="E1063" s="87"/>
      <c r="F1063" s="94"/>
      <c r="G1063" s="94"/>
      <c r="H1063" s="94"/>
      <c r="I1063" s="94"/>
      <c r="J1063" s="94"/>
      <c r="K1063" s="94"/>
      <c r="L1063" s="94"/>
      <c r="M1063" s="94"/>
      <c r="N1063" s="94"/>
      <c r="O1063" s="94"/>
      <c r="P1063" s="94"/>
      <c r="Q1063" s="94"/>
      <c r="R1063" s="94"/>
      <c r="S1063" s="94"/>
      <c r="T1063" s="94"/>
      <c r="U1063" s="94"/>
      <c r="V1063" s="94"/>
      <c r="W1063" s="94"/>
      <c r="X1063" s="94"/>
      <c r="Y1063" s="9"/>
      <c r="Z1063" s="9"/>
    </row>
    <row r="1064" spans="1:26" ht="15.75" customHeight="1">
      <c r="A1064" s="92">
        <v>27</v>
      </c>
      <c r="B1064" s="93"/>
      <c r="C1064" s="93" t="s">
        <v>2529</v>
      </c>
      <c r="D1064" s="81" t="s">
        <v>2530</v>
      </c>
      <c r="E1064" s="87"/>
      <c r="F1064" s="94"/>
      <c r="G1064" s="94"/>
      <c r="H1064" s="94"/>
      <c r="I1064" s="94"/>
      <c r="J1064" s="94"/>
      <c r="K1064" s="94"/>
      <c r="L1064" s="94"/>
      <c r="M1064" s="94"/>
      <c r="N1064" s="94"/>
      <c r="O1064" s="94"/>
      <c r="P1064" s="94"/>
      <c r="Q1064" s="94"/>
      <c r="R1064" s="94"/>
      <c r="S1064" s="94"/>
      <c r="T1064" s="94"/>
      <c r="U1064" s="94"/>
      <c r="V1064" s="94"/>
      <c r="W1064" s="94"/>
      <c r="X1064" s="94"/>
      <c r="Y1064" s="9"/>
      <c r="Z1064" s="9"/>
    </row>
    <row r="1065" spans="1:26" ht="15.75" customHeight="1">
      <c r="A1065" s="92">
        <v>28</v>
      </c>
      <c r="B1065" s="93"/>
      <c r="C1065" s="93" t="s">
        <v>2531</v>
      </c>
      <c r="D1065" s="81" t="s">
        <v>2532</v>
      </c>
      <c r="E1065" s="87"/>
      <c r="F1065" s="94"/>
      <c r="G1065" s="94"/>
      <c r="H1065" s="94"/>
      <c r="I1065" s="94"/>
      <c r="J1065" s="94"/>
      <c r="K1065" s="94"/>
      <c r="L1065" s="94"/>
      <c r="M1065" s="94"/>
      <c r="N1065" s="94"/>
      <c r="O1065" s="94"/>
      <c r="P1065" s="94"/>
      <c r="Q1065" s="94"/>
      <c r="R1065" s="94"/>
      <c r="S1065" s="94"/>
      <c r="T1065" s="94"/>
      <c r="U1065" s="94"/>
      <c r="V1065" s="94"/>
      <c r="W1065" s="94"/>
      <c r="X1065" s="94"/>
      <c r="Y1065" s="9"/>
      <c r="Z1065" s="9"/>
    </row>
    <row r="1066" spans="1:26" ht="15.75" customHeight="1">
      <c r="A1066" s="92">
        <v>29</v>
      </c>
      <c r="B1066" s="93"/>
      <c r="C1066" s="93" t="s">
        <v>2533</v>
      </c>
      <c r="D1066" s="81" t="s">
        <v>2534</v>
      </c>
      <c r="E1066" s="87"/>
      <c r="F1066" s="94"/>
      <c r="G1066" s="94"/>
      <c r="H1066" s="94"/>
      <c r="I1066" s="94"/>
      <c r="J1066" s="94"/>
      <c r="K1066" s="94"/>
      <c r="L1066" s="94"/>
      <c r="M1066" s="94"/>
      <c r="N1066" s="94"/>
      <c r="O1066" s="94"/>
      <c r="P1066" s="94"/>
      <c r="Q1066" s="94"/>
      <c r="R1066" s="94"/>
      <c r="S1066" s="94"/>
      <c r="T1066" s="94"/>
      <c r="U1066" s="94"/>
      <c r="V1066" s="94"/>
      <c r="W1066" s="94"/>
      <c r="X1066" s="94"/>
      <c r="Y1066" s="9"/>
      <c r="Z1066" s="9"/>
    </row>
    <row r="1067" spans="1:26" ht="15.75" customHeight="1">
      <c r="A1067" s="92">
        <v>30</v>
      </c>
      <c r="B1067" s="93"/>
      <c r="C1067" s="93" t="s">
        <v>2535</v>
      </c>
      <c r="D1067" s="81" t="s">
        <v>2536</v>
      </c>
      <c r="E1067" s="87"/>
      <c r="F1067" s="94"/>
      <c r="G1067" s="94"/>
      <c r="H1067" s="94"/>
      <c r="I1067" s="94"/>
      <c r="J1067" s="94"/>
      <c r="K1067" s="94"/>
      <c r="L1067" s="94"/>
      <c r="M1067" s="94"/>
      <c r="N1067" s="94"/>
      <c r="O1067" s="94"/>
      <c r="P1067" s="94"/>
      <c r="Q1067" s="94"/>
      <c r="R1067" s="94"/>
      <c r="S1067" s="94"/>
      <c r="T1067" s="94"/>
      <c r="U1067" s="94"/>
      <c r="V1067" s="94"/>
      <c r="W1067" s="94"/>
      <c r="X1067" s="94"/>
      <c r="Y1067" s="9"/>
      <c r="Z1067" s="9"/>
    </row>
    <row r="1068" spans="1:26" ht="15.75" customHeight="1">
      <c r="A1068" s="92">
        <v>31</v>
      </c>
      <c r="B1068" s="93"/>
      <c r="C1068" s="93" t="s">
        <v>2537</v>
      </c>
      <c r="D1068" s="81" t="s">
        <v>2538</v>
      </c>
      <c r="E1068" s="87"/>
      <c r="F1068" s="90"/>
      <c r="G1068" s="90"/>
      <c r="H1068" s="90"/>
      <c r="I1068" s="90"/>
      <c r="J1068" s="90"/>
      <c r="K1068" s="90"/>
      <c r="L1068" s="90"/>
      <c r="M1068" s="90"/>
      <c r="N1068" s="90"/>
      <c r="O1068" s="90"/>
      <c r="P1068" s="90"/>
      <c r="Q1068" s="90"/>
      <c r="R1068" s="90"/>
      <c r="S1068" s="90"/>
      <c r="T1068" s="90"/>
      <c r="U1068" s="90"/>
      <c r="V1068" s="90"/>
      <c r="W1068" s="90"/>
      <c r="X1068" s="90"/>
    </row>
    <row r="1069" spans="1:26" ht="15.75" customHeight="1">
      <c r="A1069" s="92">
        <v>32</v>
      </c>
      <c r="B1069" s="93"/>
      <c r="C1069" s="93" t="s">
        <v>2539</v>
      </c>
      <c r="D1069" s="81" t="s">
        <v>2540</v>
      </c>
      <c r="E1069" s="87"/>
      <c r="F1069" s="90"/>
      <c r="G1069" s="90"/>
      <c r="H1069" s="90"/>
      <c r="I1069" s="90"/>
      <c r="J1069" s="90"/>
      <c r="K1069" s="90"/>
      <c r="L1069" s="90"/>
      <c r="M1069" s="90"/>
      <c r="N1069" s="90"/>
      <c r="O1069" s="90"/>
      <c r="P1069" s="90"/>
      <c r="Q1069" s="90"/>
      <c r="R1069" s="90"/>
      <c r="S1069" s="90"/>
      <c r="T1069" s="90"/>
      <c r="U1069" s="90"/>
      <c r="V1069" s="90"/>
      <c r="W1069" s="90"/>
      <c r="X1069" s="90"/>
    </row>
    <row r="1070" spans="1:26" ht="15.75" customHeight="1">
      <c r="A1070" s="92">
        <v>33</v>
      </c>
      <c r="B1070" s="93"/>
      <c r="C1070" s="90"/>
      <c r="D1070" s="90"/>
      <c r="E1070" s="87"/>
      <c r="F1070" s="90"/>
      <c r="G1070" s="90"/>
      <c r="H1070" s="90"/>
      <c r="I1070" s="90"/>
      <c r="J1070" s="90"/>
      <c r="K1070" s="90"/>
      <c r="L1070" s="90"/>
      <c r="M1070" s="90"/>
      <c r="N1070" s="90"/>
      <c r="O1070" s="90"/>
      <c r="P1070" s="90"/>
      <c r="Q1070" s="90"/>
      <c r="R1070" s="90"/>
      <c r="S1070" s="90"/>
      <c r="T1070" s="90"/>
      <c r="U1070" s="90"/>
      <c r="V1070" s="90"/>
      <c r="W1070" s="90"/>
      <c r="X1070" s="90"/>
    </row>
    <row r="1071" spans="1:26" ht="15.75" customHeight="1">
      <c r="A1071" s="92">
        <v>34</v>
      </c>
      <c r="B1071" s="93"/>
      <c r="C1071" s="93"/>
      <c r="D1071" s="81"/>
      <c r="E1071" s="87"/>
      <c r="F1071" s="90"/>
      <c r="G1071" s="90"/>
      <c r="H1071" s="90"/>
      <c r="I1071" s="90"/>
      <c r="J1071" s="90"/>
      <c r="K1071" s="90"/>
      <c r="L1071" s="90"/>
      <c r="M1071" s="90"/>
      <c r="N1071" s="90"/>
      <c r="O1071" s="90"/>
      <c r="P1071" s="90"/>
      <c r="Q1071" s="90"/>
      <c r="R1071" s="90"/>
      <c r="S1071" s="90"/>
      <c r="T1071" s="90"/>
      <c r="U1071" s="90"/>
      <c r="V1071" s="90"/>
      <c r="W1071" s="90"/>
      <c r="X1071" s="90"/>
    </row>
    <row r="1072" spans="1:26" ht="15.75" customHeight="1">
      <c r="A1072" s="92">
        <v>35</v>
      </c>
      <c r="B1072" s="93"/>
      <c r="C1072" s="93"/>
      <c r="D1072" s="81"/>
      <c r="E1072" s="87"/>
      <c r="F1072" s="90"/>
      <c r="G1072" s="90"/>
      <c r="H1072" s="90"/>
      <c r="I1072" s="90"/>
      <c r="J1072" s="90"/>
      <c r="K1072" s="90"/>
      <c r="L1072" s="90"/>
      <c r="M1072" s="90"/>
      <c r="N1072" s="90"/>
      <c r="O1072" s="90"/>
      <c r="P1072" s="90"/>
      <c r="Q1072" s="90"/>
      <c r="R1072" s="90"/>
      <c r="S1072" s="90"/>
      <c r="T1072" s="90"/>
      <c r="U1072" s="90"/>
      <c r="V1072" s="90"/>
      <c r="W1072" s="90"/>
      <c r="X1072" s="90"/>
    </row>
    <row r="1073" spans="1:25" ht="15.75" customHeight="1">
      <c r="A1073" s="92">
        <v>36</v>
      </c>
      <c r="B1073" s="93"/>
      <c r="C1073" s="93"/>
      <c r="D1073" s="81"/>
      <c r="E1073" s="87"/>
      <c r="F1073" s="90"/>
      <c r="G1073" s="90"/>
      <c r="H1073" s="90"/>
      <c r="I1073" s="90"/>
      <c r="J1073" s="90"/>
      <c r="K1073" s="90"/>
      <c r="L1073" s="90"/>
      <c r="M1073" s="90"/>
      <c r="N1073" s="90"/>
      <c r="O1073" s="90"/>
      <c r="P1073" s="90"/>
      <c r="Q1073" s="90"/>
      <c r="R1073" s="90"/>
      <c r="S1073" s="90"/>
      <c r="T1073" s="90"/>
      <c r="U1073" s="90"/>
      <c r="V1073" s="90"/>
      <c r="W1073" s="90"/>
      <c r="X1073" s="90"/>
    </row>
    <row r="1074" spans="1:25" ht="15.75" customHeight="1">
      <c r="A1074" s="92">
        <v>37</v>
      </c>
      <c r="B1074" s="93"/>
      <c r="C1074" s="93"/>
      <c r="D1074" s="81"/>
      <c r="E1074" s="87"/>
      <c r="F1074" s="90"/>
      <c r="G1074" s="90"/>
      <c r="H1074" s="90"/>
      <c r="I1074" s="90"/>
      <c r="J1074" s="90"/>
      <c r="K1074" s="90"/>
      <c r="L1074" s="90"/>
      <c r="M1074" s="90"/>
      <c r="N1074" s="90"/>
      <c r="O1074" s="90"/>
      <c r="P1074" s="90"/>
      <c r="Q1074" s="90"/>
      <c r="R1074" s="90"/>
      <c r="S1074" s="90"/>
      <c r="T1074" s="90"/>
      <c r="U1074" s="90"/>
      <c r="V1074" s="90"/>
      <c r="W1074" s="90"/>
      <c r="X1074" s="90"/>
    </row>
    <row r="1075" spans="1:25" ht="15.75" customHeight="1">
      <c r="A1075" s="92">
        <v>38</v>
      </c>
      <c r="B1075" s="93"/>
      <c r="C1075" s="93"/>
      <c r="D1075" s="81"/>
      <c r="E1075" s="87"/>
      <c r="F1075" s="90"/>
      <c r="G1075" s="90"/>
      <c r="H1075" s="90"/>
      <c r="I1075" s="90"/>
      <c r="J1075" s="90"/>
      <c r="K1075" s="90"/>
      <c r="L1075" s="90"/>
      <c r="M1075" s="90"/>
      <c r="N1075" s="90"/>
      <c r="O1075" s="90"/>
      <c r="P1075" s="90"/>
      <c r="Q1075" s="90"/>
      <c r="R1075" s="90"/>
      <c r="S1075" s="90"/>
      <c r="T1075" s="90"/>
      <c r="U1075" s="90"/>
      <c r="V1075" s="90"/>
      <c r="W1075" s="90"/>
      <c r="X1075" s="90"/>
    </row>
    <row r="1076" spans="1:25" ht="15.75" customHeight="1">
      <c r="A1076" s="77"/>
      <c r="B1076" s="79"/>
      <c r="C1076" s="79"/>
      <c r="D1076" s="66"/>
      <c r="E1076" s="10"/>
    </row>
    <row r="1077" spans="1:25">
      <c r="A1077" s="3"/>
      <c r="B1077" s="3"/>
      <c r="C1077" s="3"/>
      <c r="D1077" s="3" t="s">
        <v>864</v>
      </c>
      <c r="E1077" s="10">
        <f>SUM(E1078:E1079)</f>
        <v>0</v>
      </c>
      <c r="G1077" s="7"/>
      <c r="H1077" s="7"/>
    </row>
    <row r="1078" spans="1:25">
      <c r="A1078" s="3"/>
      <c r="B1078" s="3"/>
      <c r="C1078" s="3"/>
      <c r="D1078" s="43" t="s">
        <v>10</v>
      </c>
      <c r="E1078" s="41">
        <f>COUNTIF(E1038:E1075,"L")</f>
        <v>0</v>
      </c>
      <c r="G1078" s="2"/>
    </row>
    <row r="1079" spans="1:25">
      <c r="A1079" s="3"/>
      <c r="B1079" s="3"/>
      <c r="C1079" s="3"/>
      <c r="D1079" s="43" t="s">
        <v>11</v>
      </c>
      <c r="E1079" s="41">
        <f>COUNTIF(E1038:E1073,"P")</f>
        <v>0</v>
      </c>
      <c r="G1079" s="2"/>
      <c r="H1079" s="2"/>
      <c r="I1079" s="3"/>
      <c r="J1079" s="3"/>
      <c r="K1079" s="3"/>
      <c r="L1079" s="3"/>
      <c r="M1079" s="3"/>
      <c r="N1079" s="3"/>
      <c r="O1079" s="3"/>
      <c r="P1079" s="3"/>
      <c r="Q1079" s="3"/>
      <c r="R1079" s="1"/>
      <c r="S1079" s="2"/>
      <c r="T1079" s="2"/>
      <c r="U1079" s="2"/>
      <c r="V1079" s="2"/>
      <c r="W1079" s="2"/>
      <c r="X1079" s="3"/>
      <c r="Y1079" s="2"/>
    </row>
    <row r="1080" spans="1:25">
      <c r="A1080" s="1" t="s">
        <v>12</v>
      </c>
      <c r="B1080" s="1"/>
      <c r="C1080" s="1"/>
      <c r="E1080" s="1"/>
      <c r="F1080" s="2"/>
      <c r="G1080" s="2"/>
      <c r="H1080" s="2"/>
      <c r="I1080" s="3"/>
      <c r="J1080" s="3"/>
      <c r="K1080" s="3"/>
      <c r="L1080" s="3"/>
      <c r="M1080" s="3"/>
      <c r="N1080" s="3"/>
      <c r="O1080" s="3"/>
      <c r="P1080" s="1" t="s">
        <v>1605</v>
      </c>
      <c r="Q1080" s="2"/>
      <c r="T1080" s="2"/>
      <c r="U1080" s="2"/>
      <c r="V1080" s="2"/>
      <c r="W1080" s="2"/>
      <c r="X1080" s="3"/>
      <c r="Y1080" s="2"/>
    </row>
    <row r="1081" spans="1:25">
      <c r="A1081" s="1" t="s">
        <v>13</v>
      </c>
      <c r="B1081" s="1"/>
      <c r="C1081" s="1"/>
      <c r="E1081" s="1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1" t="s">
        <v>14</v>
      </c>
      <c r="Q1081" s="3"/>
      <c r="S1081" s="2"/>
      <c r="T1081" s="2"/>
      <c r="U1081" s="2"/>
      <c r="V1081" s="2"/>
      <c r="W1081" s="2"/>
      <c r="X1081" s="3"/>
      <c r="Y1081" s="2"/>
    </row>
    <row r="1082" spans="1:25">
      <c r="A1082" s="1"/>
      <c r="B1082" s="1"/>
      <c r="C1082" s="1"/>
      <c r="D1082" s="1"/>
      <c r="E1082" s="1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1"/>
      <c r="Q1082" s="3"/>
      <c r="S1082" s="2"/>
      <c r="T1082" s="2"/>
      <c r="U1082" s="2"/>
      <c r="V1082" s="2"/>
      <c r="W1082" s="2"/>
      <c r="X1082" s="3"/>
      <c r="Y1082" s="2"/>
    </row>
    <row r="1083" spans="1:25">
      <c r="A1083" s="1"/>
      <c r="B1083" s="1"/>
      <c r="C1083" s="1"/>
      <c r="D1083" s="1"/>
      <c r="E1083" s="1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S1083" s="2"/>
      <c r="T1083" s="2"/>
      <c r="U1083" s="2"/>
      <c r="V1083" s="2"/>
      <c r="W1083" s="2"/>
      <c r="X1083" s="2"/>
      <c r="Y1083" s="2"/>
    </row>
    <row r="1084" spans="1:25" ht="15.75">
      <c r="A1084" s="8" t="s">
        <v>854</v>
      </c>
      <c r="B1084" s="8"/>
      <c r="C1084" s="8"/>
      <c r="D1084" s="8"/>
      <c r="E1084" s="8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8" t="s">
        <v>16</v>
      </c>
      <c r="Q1084" s="8"/>
      <c r="S1084" s="2"/>
      <c r="T1084" s="9"/>
      <c r="U1084" s="9"/>
      <c r="V1084" s="9"/>
      <c r="W1084" s="9"/>
      <c r="X1084" s="9"/>
      <c r="Y1084" s="9"/>
    </row>
    <row r="1085" spans="1:25" ht="15.75">
      <c r="A1085" s="8" t="s">
        <v>855</v>
      </c>
      <c r="B1085" s="8"/>
      <c r="C1085" s="8"/>
      <c r="D1085" s="8"/>
      <c r="E1085" s="8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8" t="s">
        <v>17</v>
      </c>
      <c r="Q1085" s="2"/>
      <c r="T1085" s="9"/>
      <c r="U1085" s="9"/>
      <c r="V1085" s="9"/>
    </row>
    <row r="1086" spans="1:25" ht="15.75">
      <c r="A1086" s="53"/>
      <c r="B1086" s="53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</row>
    <row r="1087" spans="1:25" ht="15.75">
      <c r="A1087" s="53"/>
      <c r="B1087" s="53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</row>
    <row r="1088" spans="1:25" ht="15.75">
      <c r="A1088" s="53"/>
      <c r="B1088" s="53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</row>
    <row r="1089" spans="1:25" ht="15.75">
      <c r="A1089" s="53"/>
      <c r="B1089" s="53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</row>
    <row r="1090" spans="1:25" ht="15.75">
      <c r="A1090" s="53"/>
      <c r="B1090" s="53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</row>
    <row r="1091" spans="1:25" ht="15.75">
      <c r="A1091" s="53"/>
      <c r="B1091" s="53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</row>
    <row r="1092" spans="1:25" ht="15.75">
      <c r="A1092" s="53"/>
      <c r="B1092" s="53"/>
      <c r="C1092" s="53"/>
      <c r="D1092" s="5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</row>
    <row r="1093" spans="1:25" ht="15.75">
      <c r="A1093" s="53"/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</row>
    <row r="1094" spans="1:25" ht="15.75">
      <c r="A1094" s="53"/>
      <c r="B1094" s="53"/>
      <c r="C1094" s="53"/>
      <c r="D1094" s="5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</row>
    <row r="1095" spans="1:25" ht="15.75">
      <c r="A1095" s="53"/>
      <c r="B1095" s="53"/>
      <c r="C1095" s="53"/>
      <c r="D1095" s="5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</row>
    <row r="1096" spans="1:25" ht="15.75">
      <c r="A1096" s="53"/>
      <c r="B1096" s="53"/>
      <c r="C1096" s="53"/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</row>
    <row r="1097" spans="1:25" ht="15.75">
      <c r="A1097" s="53"/>
      <c r="B1097" s="53"/>
      <c r="C1097" s="53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</row>
    <row r="1098" spans="1:25" ht="15.75">
      <c r="A1098" s="53"/>
      <c r="B1098" s="53"/>
      <c r="C1098" s="53"/>
      <c r="D1098" s="5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</row>
    <row r="1099" spans="1:25" ht="15.75">
      <c r="A1099" s="53"/>
      <c r="B1099" s="53"/>
      <c r="C1099" s="53"/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</row>
    <row r="1100" spans="1:25" ht="15.75">
      <c r="A1100" s="53"/>
      <c r="B1100" s="53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</row>
    <row r="1101" spans="1:25" ht="15.75">
      <c r="A1101" s="53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</row>
    <row r="1102" spans="1:25" ht="15.75">
      <c r="A1102" s="53"/>
      <c r="B1102" s="53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</row>
    <row r="1103" spans="1:25" ht="15.75" customHeight="1"/>
    <row r="1104" spans="1:25" ht="15.75" customHeight="1"/>
    <row r="1105" spans="1:26" ht="15.75" customHeight="1"/>
    <row r="1106" spans="1:26" ht="15.75" customHeight="1"/>
    <row r="1107" spans="1:26" ht="15.75" customHeight="1"/>
    <row r="1108" spans="1:26" ht="15.75" customHeight="1"/>
    <row r="1109" spans="1:26" ht="15.75" customHeight="1"/>
    <row r="1110" spans="1:26" ht="15.75" customHeight="1"/>
    <row r="1111" spans="1:26" ht="15.75" customHeight="1">
      <c r="A1111" s="211" t="s">
        <v>132</v>
      </c>
      <c r="B1111" s="211"/>
      <c r="C1111" s="211"/>
      <c r="D1111" s="211"/>
      <c r="E1111" s="211"/>
      <c r="F1111" s="211"/>
      <c r="G1111" s="211"/>
      <c r="H1111" s="211"/>
      <c r="I1111" s="211"/>
      <c r="J1111" s="211"/>
      <c r="K1111" s="211"/>
      <c r="L1111" s="211"/>
      <c r="M1111" s="211"/>
      <c r="N1111" s="211"/>
      <c r="O1111" s="211"/>
      <c r="P1111" s="211"/>
      <c r="Q1111" s="211"/>
      <c r="R1111" s="211"/>
      <c r="S1111" s="211"/>
      <c r="T1111" s="211"/>
      <c r="U1111" s="211"/>
      <c r="V1111" s="211"/>
      <c r="W1111" s="211"/>
      <c r="X1111" s="211"/>
    </row>
    <row r="1112" spans="1:26" ht="15.75" customHeight="1">
      <c r="A1112" s="211" t="s">
        <v>0</v>
      </c>
      <c r="B1112" s="211"/>
      <c r="C1112" s="211"/>
      <c r="D1112" s="211"/>
      <c r="E1112" s="211"/>
      <c r="F1112" s="211"/>
      <c r="G1112" s="211"/>
      <c r="H1112" s="211"/>
      <c r="I1112" s="211"/>
      <c r="J1112" s="211"/>
      <c r="K1112" s="211"/>
      <c r="L1112" s="211"/>
      <c r="M1112" s="211"/>
      <c r="N1112" s="211"/>
      <c r="O1112" s="211"/>
      <c r="P1112" s="211"/>
      <c r="Q1112" s="211"/>
      <c r="R1112" s="211"/>
      <c r="S1112" s="211"/>
      <c r="T1112" s="211"/>
      <c r="U1112" s="211"/>
      <c r="V1112" s="211"/>
      <c r="W1112" s="211"/>
      <c r="X1112" s="211"/>
      <c r="Y1112" s="8"/>
      <c r="Z1112" s="8"/>
    </row>
    <row r="1113" spans="1:26" ht="15.75" customHeight="1">
      <c r="Y1113" s="8"/>
      <c r="Z1113" s="8"/>
    </row>
    <row r="1114" spans="1:26" ht="15.75" customHeight="1">
      <c r="A1114" s="21" t="s">
        <v>133</v>
      </c>
      <c r="B1114" s="21"/>
      <c r="C1114" s="22" t="s">
        <v>2541</v>
      </c>
      <c r="D1114" s="23"/>
      <c r="E1114" s="23" t="s">
        <v>1623</v>
      </c>
      <c r="F1114" s="54"/>
      <c r="G1114" s="54"/>
      <c r="H1114" s="54"/>
      <c r="I1114" s="54"/>
      <c r="J1114" s="54"/>
      <c r="K1114" s="54"/>
      <c r="L1114" s="54" t="s">
        <v>1628</v>
      </c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8"/>
    </row>
    <row r="1115" spans="1:26" ht="15.75" customHeight="1">
      <c r="A1115" s="205" t="s">
        <v>134</v>
      </c>
      <c r="B1115" s="205"/>
      <c r="C1115" s="15" t="s">
        <v>21</v>
      </c>
      <c r="D1115" s="82"/>
      <c r="E1115" s="14" t="s">
        <v>1621</v>
      </c>
      <c r="F1115" s="82"/>
      <c r="G1115" s="82"/>
      <c r="H1115" s="82"/>
      <c r="I1115" s="82"/>
      <c r="J1115" s="82"/>
      <c r="K1115" s="16"/>
      <c r="L1115" s="82" t="s">
        <v>1629</v>
      </c>
      <c r="M1115" s="82"/>
      <c r="N1115" s="82"/>
      <c r="O1115" s="82"/>
      <c r="P1115" s="82"/>
      <c r="Q1115" s="82"/>
      <c r="R1115" s="82"/>
      <c r="S1115" s="82"/>
      <c r="T1115" s="82"/>
      <c r="U1115" s="82"/>
      <c r="V1115" s="82"/>
      <c r="W1115" s="82"/>
      <c r="X1115" s="82"/>
      <c r="Y1115" s="82"/>
      <c r="Z1115" s="8"/>
    </row>
    <row r="1116" spans="1:26" ht="15.75" customHeight="1">
      <c r="D1116" s="82"/>
      <c r="E1116" s="83" t="s">
        <v>1625</v>
      </c>
      <c r="F1116" s="82"/>
      <c r="G1116" s="82"/>
      <c r="H1116" s="82"/>
      <c r="I1116" s="82"/>
      <c r="J1116" s="82"/>
      <c r="K1116" s="82"/>
      <c r="L1116" s="82" t="s">
        <v>1629</v>
      </c>
      <c r="M1116" s="82"/>
      <c r="N1116" s="82"/>
      <c r="O1116" s="82"/>
      <c r="P1116" s="82"/>
      <c r="Q1116" s="82"/>
      <c r="R1116" s="82"/>
      <c r="S1116" s="82"/>
      <c r="T1116" s="82"/>
      <c r="U1116" s="82"/>
      <c r="V1116" s="82"/>
      <c r="W1116" s="82"/>
      <c r="X1116" s="82"/>
      <c r="Y1116" s="82"/>
      <c r="Z1116" s="8"/>
    </row>
    <row r="1117" spans="1:26" ht="15.75" customHeight="1">
      <c r="A1117" s="212" t="s">
        <v>136</v>
      </c>
      <c r="B1117" s="212"/>
      <c r="C1117" s="22" t="s">
        <v>2624</v>
      </c>
      <c r="D1117" s="54"/>
      <c r="E1117" s="23" t="s">
        <v>1627</v>
      </c>
      <c r="F1117" s="54"/>
      <c r="G1117" s="16"/>
      <c r="H1117" s="54"/>
      <c r="I1117" s="54"/>
      <c r="J1117" s="54"/>
      <c r="K1117" s="54" t="s">
        <v>1617</v>
      </c>
      <c r="L1117" s="54" t="s">
        <v>1618</v>
      </c>
      <c r="M1117" s="54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8"/>
    </row>
    <row r="1118" spans="1:26" ht="15.75" customHeight="1">
      <c r="A1118" s="21"/>
      <c r="B1118" s="21"/>
      <c r="C1118" s="22"/>
      <c r="D1118" s="54"/>
      <c r="E1118" s="23"/>
      <c r="F1118" s="54"/>
      <c r="G1118" s="16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8"/>
    </row>
    <row r="1119" spans="1:26" ht="15.75" customHeight="1">
      <c r="A1119" s="24"/>
      <c r="B1119" s="24"/>
      <c r="C1119" s="24"/>
      <c r="D1119" s="205" t="s">
        <v>1599</v>
      </c>
      <c r="E1119" s="205"/>
      <c r="F1119" s="205"/>
      <c r="G1119" s="205"/>
      <c r="H1119" s="205"/>
      <c r="I1119" s="205"/>
      <c r="J1119" s="205"/>
      <c r="K1119" s="205"/>
      <c r="L1119" s="205"/>
      <c r="M1119" s="205"/>
      <c r="N1119" s="205"/>
      <c r="O1119" s="205"/>
      <c r="P1119" s="205"/>
      <c r="Q1119" s="205"/>
      <c r="R1119" s="205"/>
      <c r="S1119" s="205"/>
      <c r="T1119" s="205"/>
      <c r="U1119" s="205"/>
      <c r="V1119" s="205"/>
      <c r="W1119" s="205"/>
      <c r="X1119" s="205"/>
      <c r="Y1119" s="205"/>
      <c r="Z1119" s="8"/>
    </row>
    <row r="1120" spans="1:26" ht="15.75" customHeight="1">
      <c r="A1120" s="206" t="s">
        <v>1</v>
      </c>
      <c r="B1120" s="206" t="s">
        <v>2</v>
      </c>
      <c r="C1120" s="206" t="s">
        <v>18</v>
      </c>
      <c r="D1120" s="206" t="s">
        <v>137</v>
      </c>
      <c r="E1120" s="213" t="s">
        <v>3</v>
      </c>
      <c r="F1120" s="208" t="s">
        <v>4</v>
      </c>
      <c r="G1120" s="209"/>
      <c r="H1120" s="209"/>
      <c r="I1120" s="209"/>
      <c r="J1120" s="209"/>
      <c r="K1120" s="209"/>
      <c r="L1120" s="209"/>
      <c r="M1120" s="209"/>
      <c r="N1120" s="209"/>
      <c r="O1120" s="209"/>
      <c r="P1120" s="209"/>
      <c r="Q1120" s="209"/>
      <c r="R1120" s="209"/>
      <c r="S1120" s="209"/>
      <c r="T1120" s="209"/>
      <c r="U1120" s="210"/>
      <c r="V1120" s="208" t="s">
        <v>5</v>
      </c>
      <c r="W1120" s="209"/>
      <c r="X1120" s="210"/>
    </row>
    <row r="1121" spans="1:26" ht="15.75" customHeight="1">
      <c r="A1121" s="207"/>
      <c r="B1121" s="207"/>
      <c r="C1121" s="207"/>
      <c r="D1121" s="207"/>
      <c r="E1121" s="214"/>
      <c r="F1121" s="91">
        <v>1</v>
      </c>
      <c r="G1121" s="91">
        <v>2</v>
      </c>
      <c r="H1121" s="91">
        <v>3</v>
      </c>
      <c r="I1121" s="91">
        <v>4</v>
      </c>
      <c r="J1121" s="91">
        <v>5</v>
      </c>
      <c r="K1121" s="91">
        <v>6</v>
      </c>
      <c r="L1121" s="91">
        <v>7</v>
      </c>
      <c r="M1121" s="91">
        <v>8</v>
      </c>
      <c r="N1121" s="91">
        <v>9</v>
      </c>
      <c r="O1121" s="91">
        <v>10</v>
      </c>
      <c r="P1121" s="91">
        <v>11</v>
      </c>
      <c r="Q1121" s="91">
        <v>12</v>
      </c>
      <c r="R1121" s="91">
        <v>13</v>
      </c>
      <c r="S1121" s="91">
        <v>14</v>
      </c>
      <c r="T1121" s="91">
        <v>15</v>
      </c>
      <c r="U1121" s="91">
        <v>16</v>
      </c>
      <c r="V1121" s="91" t="s">
        <v>6</v>
      </c>
      <c r="W1121" s="91" t="s">
        <v>7</v>
      </c>
      <c r="X1121" s="91" t="s">
        <v>8</v>
      </c>
      <c r="Y1121" s="9"/>
      <c r="Z1121" s="9"/>
    </row>
    <row r="1122" spans="1:26" ht="15.75" customHeight="1">
      <c r="A1122" s="48"/>
      <c r="B1122" s="48"/>
      <c r="C1122" s="48"/>
      <c r="D1122" s="48"/>
      <c r="F1122" s="91"/>
      <c r="G1122" s="91"/>
      <c r="H1122" s="91"/>
      <c r="I1122" s="91"/>
      <c r="J1122" s="91"/>
      <c r="K1122" s="91"/>
      <c r="L1122" s="91"/>
      <c r="M1122" s="91"/>
      <c r="N1122" s="91"/>
      <c r="O1122" s="91"/>
      <c r="P1122" s="91"/>
      <c r="Q1122" s="91"/>
      <c r="R1122" s="91"/>
      <c r="S1122" s="91"/>
      <c r="T1122" s="91"/>
      <c r="U1122" s="91"/>
      <c r="V1122" s="91"/>
      <c r="W1122" s="91"/>
      <c r="X1122" s="91"/>
      <c r="Y1122" s="9"/>
      <c r="Z1122" s="9"/>
    </row>
    <row r="1123" spans="1:26" ht="15.75" customHeight="1">
      <c r="A1123" s="92">
        <v>2</v>
      </c>
      <c r="B1123" s="93"/>
      <c r="C1123" s="93" t="s">
        <v>2544</v>
      </c>
      <c r="D1123" s="81" t="s">
        <v>2545</v>
      </c>
      <c r="E1123" s="87"/>
      <c r="F1123" s="94"/>
      <c r="G1123" s="94"/>
      <c r="H1123" s="94"/>
      <c r="I1123" s="94"/>
      <c r="J1123" s="94"/>
      <c r="K1123" s="94"/>
      <c r="L1123" s="94"/>
      <c r="M1123" s="94"/>
      <c r="N1123" s="94"/>
      <c r="O1123" s="94"/>
      <c r="P1123" s="94"/>
      <c r="Q1123" s="94"/>
      <c r="R1123" s="94"/>
      <c r="S1123" s="94"/>
      <c r="T1123" s="94"/>
      <c r="U1123" s="94"/>
      <c r="V1123" s="94"/>
      <c r="W1123" s="94"/>
      <c r="X1123" s="94"/>
      <c r="Y1123" s="9"/>
      <c r="Z1123" s="9"/>
    </row>
    <row r="1124" spans="1:26" ht="15.75" customHeight="1">
      <c r="A1124" s="92">
        <v>1</v>
      </c>
      <c r="B1124" s="93"/>
      <c r="C1124" s="93" t="s">
        <v>2542</v>
      </c>
      <c r="D1124" s="81" t="s">
        <v>2543</v>
      </c>
      <c r="E1124" s="87"/>
      <c r="F1124" s="94"/>
      <c r="G1124" s="94"/>
      <c r="H1124" s="94"/>
      <c r="I1124" s="94"/>
      <c r="J1124" s="94"/>
      <c r="K1124" s="94"/>
      <c r="L1124" s="94"/>
      <c r="M1124" s="94"/>
      <c r="N1124" s="94"/>
      <c r="O1124" s="94"/>
      <c r="P1124" s="94"/>
      <c r="Q1124" s="94"/>
      <c r="R1124" s="94"/>
      <c r="S1124" s="94"/>
      <c r="T1124" s="94"/>
      <c r="U1124" s="94"/>
      <c r="V1124" s="94"/>
      <c r="W1124" s="94"/>
      <c r="X1124" s="94"/>
      <c r="Y1124" s="9"/>
      <c r="Z1124" s="9"/>
    </row>
    <row r="1125" spans="1:26" ht="15.75" customHeight="1">
      <c r="A1125" s="92">
        <v>3</v>
      </c>
      <c r="B1125" s="93"/>
      <c r="C1125" s="93" t="s">
        <v>2546</v>
      </c>
      <c r="D1125" s="81" t="s">
        <v>2547</v>
      </c>
      <c r="E1125" s="87"/>
      <c r="F1125" s="94"/>
      <c r="G1125" s="94"/>
      <c r="H1125" s="94"/>
      <c r="I1125" s="94"/>
      <c r="J1125" s="94"/>
      <c r="K1125" s="94"/>
      <c r="L1125" s="94"/>
      <c r="M1125" s="94"/>
      <c r="N1125" s="94"/>
      <c r="O1125" s="94"/>
      <c r="P1125" s="94"/>
      <c r="Q1125" s="94"/>
      <c r="R1125" s="94"/>
      <c r="S1125" s="94"/>
      <c r="T1125" s="94"/>
      <c r="U1125" s="94"/>
      <c r="V1125" s="94"/>
      <c r="W1125" s="94"/>
      <c r="X1125" s="94"/>
      <c r="Y1125" s="9"/>
      <c r="Z1125" s="9"/>
    </row>
    <row r="1126" spans="1:26" ht="15.75" customHeight="1">
      <c r="A1126" s="92">
        <v>4</v>
      </c>
      <c r="B1126" s="93"/>
      <c r="C1126" s="93" t="s">
        <v>2548</v>
      </c>
      <c r="D1126" s="81" t="s">
        <v>2549</v>
      </c>
      <c r="E1126" s="87"/>
      <c r="F1126" s="94"/>
      <c r="G1126" s="94"/>
      <c r="H1126" s="94"/>
      <c r="I1126" s="94"/>
      <c r="J1126" s="94"/>
      <c r="K1126" s="94"/>
      <c r="L1126" s="94"/>
      <c r="M1126" s="94"/>
      <c r="N1126" s="94"/>
      <c r="O1126" s="94"/>
      <c r="P1126" s="94"/>
      <c r="Q1126" s="94"/>
      <c r="R1126" s="94"/>
      <c r="S1126" s="94"/>
      <c r="T1126" s="94"/>
      <c r="U1126" s="94"/>
      <c r="V1126" s="94"/>
      <c r="W1126" s="94"/>
      <c r="X1126" s="94"/>
      <c r="Y1126" s="9"/>
      <c r="Z1126" s="9"/>
    </row>
    <row r="1127" spans="1:26" ht="15.75" customHeight="1">
      <c r="A1127" s="92">
        <v>5</v>
      </c>
      <c r="B1127" s="93"/>
      <c r="C1127" s="93" t="s">
        <v>2550</v>
      </c>
      <c r="D1127" s="81" t="s">
        <v>2551</v>
      </c>
      <c r="E1127" s="87"/>
      <c r="F1127" s="94"/>
      <c r="G1127" s="94"/>
      <c r="H1127" s="94"/>
      <c r="I1127" s="94"/>
      <c r="J1127" s="94"/>
      <c r="K1127" s="94"/>
      <c r="L1127" s="94"/>
      <c r="M1127" s="94"/>
      <c r="N1127" s="94"/>
      <c r="O1127" s="94"/>
      <c r="P1127" s="94"/>
      <c r="Q1127" s="94"/>
      <c r="R1127" s="94"/>
      <c r="S1127" s="94"/>
      <c r="T1127" s="94"/>
      <c r="U1127" s="94"/>
      <c r="V1127" s="94"/>
      <c r="W1127" s="94"/>
      <c r="X1127" s="94"/>
      <c r="Y1127" s="9"/>
      <c r="Z1127" s="9"/>
    </row>
    <row r="1128" spans="1:26" ht="15.75" customHeight="1">
      <c r="A1128" s="92">
        <v>6</v>
      </c>
      <c r="B1128" s="93"/>
      <c r="C1128" s="93" t="s">
        <v>2552</v>
      </c>
      <c r="D1128" s="81" t="s">
        <v>2553</v>
      </c>
      <c r="E1128" s="87"/>
      <c r="F1128" s="94"/>
      <c r="G1128" s="94"/>
      <c r="H1128" s="94"/>
      <c r="I1128" s="94"/>
      <c r="J1128" s="94"/>
      <c r="K1128" s="94"/>
      <c r="L1128" s="94"/>
      <c r="M1128" s="94"/>
      <c r="N1128" s="94"/>
      <c r="O1128" s="94"/>
      <c r="P1128" s="94"/>
      <c r="Q1128" s="94"/>
      <c r="R1128" s="94"/>
      <c r="S1128" s="94"/>
      <c r="T1128" s="94"/>
      <c r="U1128" s="94"/>
      <c r="V1128" s="94"/>
      <c r="W1128" s="94"/>
      <c r="X1128" s="94"/>
      <c r="Y1128" s="9"/>
      <c r="Z1128" s="9"/>
    </row>
    <row r="1129" spans="1:26" ht="15.75" customHeight="1">
      <c r="A1129" s="92">
        <v>7</v>
      </c>
      <c r="B1129" s="93"/>
      <c r="C1129" s="93" t="s">
        <v>2554</v>
      </c>
      <c r="D1129" s="81" t="s">
        <v>2555</v>
      </c>
      <c r="E1129" s="87"/>
      <c r="F1129" s="94"/>
      <c r="G1129" s="94"/>
      <c r="H1129" s="94"/>
      <c r="I1129" s="94"/>
      <c r="J1129" s="94"/>
      <c r="K1129" s="94"/>
      <c r="L1129" s="94"/>
      <c r="M1129" s="94"/>
      <c r="N1129" s="94"/>
      <c r="O1129" s="94"/>
      <c r="P1129" s="94"/>
      <c r="Q1129" s="94"/>
      <c r="R1129" s="94"/>
      <c r="S1129" s="94"/>
      <c r="T1129" s="94"/>
      <c r="U1129" s="94"/>
      <c r="V1129" s="94"/>
      <c r="W1129" s="94"/>
      <c r="X1129" s="94"/>
      <c r="Y1129" s="9"/>
      <c r="Z1129" s="9"/>
    </row>
    <row r="1130" spans="1:26" ht="15.75" customHeight="1">
      <c r="A1130" s="92">
        <v>8</v>
      </c>
      <c r="B1130" s="93"/>
      <c r="C1130" s="93" t="s">
        <v>2556</v>
      </c>
      <c r="D1130" s="81" t="s">
        <v>2557</v>
      </c>
      <c r="E1130" s="87"/>
      <c r="F1130" s="94"/>
      <c r="G1130" s="94"/>
      <c r="H1130" s="94"/>
      <c r="I1130" s="94"/>
      <c r="J1130" s="94"/>
      <c r="K1130" s="94"/>
      <c r="L1130" s="94"/>
      <c r="M1130" s="94"/>
      <c r="N1130" s="94"/>
      <c r="O1130" s="94"/>
      <c r="P1130" s="94"/>
      <c r="Q1130" s="94"/>
      <c r="R1130" s="94"/>
      <c r="S1130" s="94"/>
      <c r="T1130" s="94"/>
      <c r="U1130" s="94"/>
      <c r="V1130" s="94"/>
      <c r="W1130" s="94"/>
      <c r="X1130" s="94"/>
      <c r="Y1130" s="9"/>
      <c r="Z1130" s="9"/>
    </row>
    <row r="1131" spans="1:26" ht="15.75" customHeight="1">
      <c r="A1131" s="92">
        <v>9</v>
      </c>
      <c r="B1131" s="93"/>
      <c r="C1131" s="93" t="s">
        <v>2558</v>
      </c>
      <c r="D1131" s="81" t="s">
        <v>2559</v>
      </c>
      <c r="E1131" s="87"/>
      <c r="F1131" s="94"/>
      <c r="G1131" s="94"/>
      <c r="H1131" s="94"/>
      <c r="I1131" s="94"/>
      <c r="J1131" s="94"/>
      <c r="K1131" s="94"/>
      <c r="L1131" s="94"/>
      <c r="M1131" s="94"/>
      <c r="N1131" s="94"/>
      <c r="O1131" s="94"/>
      <c r="P1131" s="94"/>
      <c r="Q1131" s="94"/>
      <c r="R1131" s="94"/>
      <c r="S1131" s="94"/>
      <c r="T1131" s="94"/>
      <c r="U1131" s="94"/>
      <c r="V1131" s="94"/>
      <c r="W1131" s="94"/>
      <c r="X1131" s="94"/>
      <c r="Y1131" s="9"/>
      <c r="Z1131" s="9"/>
    </row>
    <row r="1132" spans="1:26" ht="15.75" customHeight="1">
      <c r="A1132" s="92">
        <v>34</v>
      </c>
      <c r="B1132" s="93"/>
      <c r="C1132" s="93" t="s">
        <v>1722</v>
      </c>
      <c r="D1132" s="81" t="s">
        <v>1723</v>
      </c>
      <c r="E1132" s="87"/>
      <c r="F1132" s="94"/>
      <c r="G1132" s="94"/>
      <c r="H1132" s="94"/>
      <c r="I1132" s="94"/>
      <c r="J1132" s="94"/>
      <c r="K1132" s="94"/>
      <c r="L1132" s="94"/>
      <c r="M1132" s="94"/>
      <c r="N1132" s="94"/>
      <c r="O1132" s="94"/>
      <c r="P1132" s="94"/>
      <c r="Q1132" s="94"/>
      <c r="R1132" s="94"/>
      <c r="S1132" s="94"/>
      <c r="T1132" s="94"/>
      <c r="U1132" s="94"/>
      <c r="V1132" s="94"/>
      <c r="W1132" s="94"/>
      <c r="X1132" s="94"/>
      <c r="Y1132" s="9"/>
      <c r="Z1132" s="9"/>
    </row>
    <row r="1133" spans="1:26" ht="15.75" customHeight="1">
      <c r="A1133" s="92">
        <v>13</v>
      </c>
      <c r="B1133" s="93"/>
      <c r="C1133" s="93" t="s">
        <v>2497</v>
      </c>
      <c r="D1133" s="81" t="s">
        <v>2498</v>
      </c>
      <c r="E1133" s="87"/>
      <c r="F1133" s="94"/>
      <c r="G1133" s="94"/>
      <c r="H1133" s="94"/>
      <c r="I1133" s="94"/>
      <c r="J1133" s="94"/>
      <c r="K1133" s="94"/>
      <c r="L1133" s="94"/>
      <c r="M1133" s="94"/>
      <c r="N1133" s="94"/>
      <c r="O1133" s="94"/>
      <c r="P1133" s="94"/>
      <c r="Q1133" s="94"/>
      <c r="R1133" s="94"/>
      <c r="S1133" s="94"/>
      <c r="T1133" s="94"/>
      <c r="U1133" s="94"/>
      <c r="V1133" s="94"/>
      <c r="W1133" s="94"/>
      <c r="X1133" s="94"/>
      <c r="Y1133" s="9"/>
      <c r="Z1133" s="9"/>
    </row>
    <row r="1134" spans="1:26" ht="15.75" customHeight="1">
      <c r="A1134" s="92">
        <v>10</v>
      </c>
      <c r="B1134" s="93"/>
      <c r="C1134" s="93" t="s">
        <v>2560</v>
      </c>
      <c r="D1134" s="81" t="s">
        <v>2561</v>
      </c>
      <c r="E1134" s="87"/>
      <c r="F1134" s="94"/>
      <c r="G1134" s="94"/>
      <c r="H1134" s="94"/>
      <c r="I1134" s="94"/>
      <c r="J1134" s="94"/>
      <c r="K1134" s="94"/>
      <c r="L1134" s="94"/>
      <c r="M1134" s="94"/>
      <c r="N1134" s="94"/>
      <c r="O1134" s="94"/>
      <c r="P1134" s="94"/>
      <c r="Q1134" s="94"/>
      <c r="R1134" s="94"/>
      <c r="S1134" s="94"/>
      <c r="T1134" s="94"/>
      <c r="U1134" s="94"/>
      <c r="V1134" s="94"/>
      <c r="W1134" s="94"/>
      <c r="X1134" s="94"/>
      <c r="Y1134" s="9"/>
      <c r="Z1134" s="9"/>
    </row>
    <row r="1135" spans="1:26" ht="15.75" customHeight="1">
      <c r="A1135" s="92">
        <v>11</v>
      </c>
      <c r="B1135" s="93"/>
      <c r="C1135" s="93" t="s">
        <v>2562</v>
      </c>
      <c r="D1135" s="81" t="s">
        <v>2563</v>
      </c>
      <c r="E1135" s="87"/>
      <c r="F1135" s="94"/>
      <c r="G1135" s="94"/>
      <c r="H1135" s="94"/>
      <c r="I1135" s="94"/>
      <c r="J1135" s="94"/>
      <c r="K1135" s="94"/>
      <c r="L1135" s="94"/>
      <c r="M1135" s="94"/>
      <c r="N1135" s="94"/>
      <c r="O1135" s="94"/>
      <c r="P1135" s="94"/>
      <c r="Q1135" s="94"/>
      <c r="R1135" s="94"/>
      <c r="S1135" s="94"/>
      <c r="T1135" s="94"/>
      <c r="U1135" s="94"/>
      <c r="V1135" s="94"/>
      <c r="W1135" s="94"/>
      <c r="X1135" s="94"/>
      <c r="Y1135" s="9"/>
      <c r="Z1135" s="9"/>
    </row>
    <row r="1136" spans="1:26" ht="15.75" customHeight="1">
      <c r="A1136" s="92">
        <v>12</v>
      </c>
      <c r="B1136" s="93"/>
      <c r="C1136" s="93" t="s">
        <v>2564</v>
      </c>
      <c r="D1136" s="81" t="s">
        <v>2565</v>
      </c>
      <c r="E1136" s="87"/>
      <c r="F1136" s="94"/>
      <c r="G1136" s="94"/>
      <c r="H1136" s="94"/>
      <c r="I1136" s="94"/>
      <c r="J1136" s="94"/>
      <c r="K1136" s="94"/>
      <c r="L1136" s="94"/>
      <c r="M1136" s="94"/>
      <c r="N1136" s="94"/>
      <c r="O1136" s="94"/>
      <c r="P1136" s="94"/>
      <c r="Q1136" s="94"/>
      <c r="R1136" s="94"/>
      <c r="S1136" s="94"/>
      <c r="T1136" s="94"/>
      <c r="U1136" s="94"/>
      <c r="V1136" s="94"/>
      <c r="W1136" s="94"/>
      <c r="X1136" s="94"/>
      <c r="Y1136" s="9"/>
      <c r="Z1136" s="9"/>
    </row>
    <row r="1137" spans="1:26" ht="15.75" customHeight="1">
      <c r="A1137" s="92">
        <v>14</v>
      </c>
      <c r="B1137" s="93"/>
      <c r="C1137" s="93" t="s">
        <v>2568</v>
      </c>
      <c r="D1137" s="81" t="s">
        <v>2569</v>
      </c>
      <c r="E1137" s="87"/>
      <c r="F1137" s="94"/>
      <c r="G1137" s="94"/>
      <c r="H1137" s="94"/>
      <c r="I1137" s="94"/>
      <c r="J1137" s="94"/>
      <c r="K1137" s="94"/>
      <c r="L1137" s="94"/>
      <c r="M1137" s="94"/>
      <c r="N1137" s="94"/>
      <c r="O1137" s="94"/>
      <c r="P1137" s="94"/>
      <c r="Q1137" s="94"/>
      <c r="R1137" s="94"/>
      <c r="S1137" s="94"/>
      <c r="T1137" s="94"/>
      <c r="U1137" s="94"/>
      <c r="V1137" s="94"/>
      <c r="W1137" s="94"/>
      <c r="X1137" s="94"/>
      <c r="Y1137" s="9"/>
      <c r="Z1137" s="9"/>
    </row>
    <row r="1138" spans="1:26" ht="15.75" customHeight="1">
      <c r="A1138" s="92">
        <v>15</v>
      </c>
      <c r="B1138" s="93"/>
      <c r="C1138" s="93" t="s">
        <v>2570</v>
      </c>
      <c r="D1138" s="81" t="s">
        <v>2571</v>
      </c>
      <c r="E1138" s="87"/>
      <c r="F1138" s="94"/>
      <c r="G1138" s="94"/>
      <c r="H1138" s="94"/>
      <c r="I1138" s="94"/>
      <c r="J1138" s="94"/>
      <c r="K1138" s="94"/>
      <c r="L1138" s="94"/>
      <c r="M1138" s="94"/>
      <c r="N1138" s="94"/>
      <c r="O1138" s="94"/>
      <c r="P1138" s="94"/>
      <c r="Q1138" s="94"/>
      <c r="R1138" s="94"/>
      <c r="S1138" s="94"/>
      <c r="T1138" s="94"/>
      <c r="U1138" s="94"/>
      <c r="V1138" s="94"/>
      <c r="W1138" s="94"/>
      <c r="X1138" s="94"/>
      <c r="Y1138" s="9"/>
      <c r="Z1138" s="9"/>
    </row>
    <row r="1139" spans="1:26" ht="15.75" customHeight="1">
      <c r="A1139" s="92">
        <v>16</v>
      </c>
      <c r="B1139" s="93"/>
      <c r="C1139" s="93" t="s">
        <v>2572</v>
      </c>
      <c r="D1139" s="81" t="s">
        <v>2573</v>
      </c>
      <c r="E1139" s="87"/>
      <c r="F1139" s="94"/>
      <c r="G1139" s="94"/>
      <c r="H1139" s="94"/>
      <c r="I1139" s="94"/>
      <c r="J1139" s="94"/>
      <c r="K1139" s="94"/>
      <c r="L1139" s="94"/>
      <c r="M1139" s="94"/>
      <c r="N1139" s="94"/>
      <c r="O1139" s="94"/>
      <c r="P1139" s="94"/>
      <c r="Q1139" s="94"/>
      <c r="R1139" s="94"/>
      <c r="S1139" s="94"/>
      <c r="T1139" s="94"/>
      <c r="U1139" s="94"/>
      <c r="V1139" s="94"/>
      <c r="W1139" s="94"/>
      <c r="X1139" s="94"/>
      <c r="Y1139" s="9"/>
      <c r="Z1139" s="9"/>
    </row>
    <row r="1140" spans="1:26" ht="15.75" customHeight="1">
      <c r="A1140" s="92">
        <v>17</v>
      </c>
      <c r="B1140" s="93"/>
      <c r="C1140" s="93" t="s">
        <v>2574</v>
      </c>
      <c r="D1140" s="81" t="s">
        <v>2575</v>
      </c>
      <c r="E1140" s="87"/>
      <c r="F1140" s="94"/>
      <c r="G1140" s="94"/>
      <c r="H1140" s="94"/>
      <c r="I1140" s="94"/>
      <c r="J1140" s="94"/>
      <c r="K1140" s="94"/>
      <c r="L1140" s="94"/>
      <c r="M1140" s="94"/>
      <c r="N1140" s="94"/>
      <c r="O1140" s="94"/>
      <c r="P1140" s="94"/>
      <c r="Q1140" s="94"/>
      <c r="R1140" s="94"/>
      <c r="S1140" s="94"/>
      <c r="T1140" s="94"/>
      <c r="U1140" s="94"/>
      <c r="V1140" s="94"/>
      <c r="W1140" s="94"/>
      <c r="X1140" s="94"/>
      <c r="Y1140" s="9"/>
      <c r="Z1140" s="9"/>
    </row>
    <row r="1141" spans="1:26" ht="15.75" customHeight="1">
      <c r="A1141" s="92">
        <v>18</v>
      </c>
      <c r="B1141" s="93"/>
      <c r="C1141" s="93" t="s">
        <v>2576</v>
      </c>
      <c r="D1141" s="81" t="s">
        <v>2577</v>
      </c>
      <c r="E1141" s="87"/>
      <c r="F1141" s="94"/>
      <c r="G1141" s="94"/>
      <c r="H1141" s="94"/>
      <c r="I1141" s="94"/>
      <c r="J1141" s="94"/>
      <c r="K1141" s="94"/>
      <c r="L1141" s="94"/>
      <c r="M1141" s="94"/>
      <c r="N1141" s="94"/>
      <c r="O1141" s="94"/>
      <c r="P1141" s="94"/>
      <c r="Q1141" s="94"/>
      <c r="R1141" s="94"/>
      <c r="S1141" s="94"/>
      <c r="T1141" s="94"/>
      <c r="U1141" s="94"/>
      <c r="V1141" s="94"/>
      <c r="W1141" s="94"/>
      <c r="X1141" s="94"/>
      <c r="Y1141" s="9"/>
      <c r="Z1141" s="9"/>
    </row>
    <row r="1142" spans="1:26" ht="15.75" customHeight="1">
      <c r="A1142" s="92">
        <v>19</v>
      </c>
      <c r="B1142" s="93"/>
      <c r="C1142" s="93" t="s">
        <v>2578</v>
      </c>
      <c r="D1142" s="81" t="s">
        <v>2579</v>
      </c>
      <c r="E1142" s="87"/>
      <c r="F1142" s="94"/>
      <c r="G1142" s="94"/>
      <c r="H1142" s="94"/>
      <c r="I1142" s="94"/>
      <c r="J1142" s="94"/>
      <c r="K1142" s="94"/>
      <c r="L1142" s="94"/>
      <c r="M1142" s="94"/>
      <c r="N1142" s="94"/>
      <c r="O1142" s="94"/>
      <c r="P1142" s="94"/>
      <c r="Q1142" s="94"/>
      <c r="R1142" s="94"/>
      <c r="S1142" s="94"/>
      <c r="T1142" s="94"/>
      <c r="U1142" s="94"/>
      <c r="V1142" s="94"/>
      <c r="W1142" s="94"/>
      <c r="X1142" s="94"/>
      <c r="Y1142" s="9"/>
      <c r="Z1142" s="9"/>
    </row>
    <row r="1143" spans="1:26" ht="15.75" customHeight="1">
      <c r="A1143" s="92">
        <v>20</v>
      </c>
      <c r="B1143" s="93"/>
      <c r="C1143" s="93" t="s">
        <v>2580</v>
      </c>
      <c r="D1143" s="81" t="s">
        <v>2581</v>
      </c>
      <c r="E1143" s="87"/>
      <c r="F1143" s="94"/>
      <c r="G1143" s="94"/>
      <c r="H1143" s="94"/>
      <c r="I1143" s="94"/>
      <c r="J1143" s="94"/>
      <c r="K1143" s="94"/>
      <c r="L1143" s="94"/>
      <c r="M1143" s="94"/>
      <c r="N1143" s="94"/>
      <c r="O1143" s="94"/>
      <c r="P1143" s="94"/>
      <c r="Q1143" s="94"/>
      <c r="R1143" s="94"/>
      <c r="S1143" s="94"/>
      <c r="T1143" s="94"/>
      <c r="U1143" s="94"/>
      <c r="V1143" s="94"/>
      <c r="W1143" s="94"/>
      <c r="X1143" s="94"/>
      <c r="Y1143" s="9"/>
      <c r="Z1143" s="9"/>
    </row>
    <row r="1144" spans="1:26" ht="15.75" customHeight="1">
      <c r="A1144" s="92">
        <v>21</v>
      </c>
      <c r="B1144" s="93"/>
      <c r="C1144" s="93" t="s">
        <v>2582</v>
      </c>
      <c r="D1144" s="81" t="s">
        <v>2583</v>
      </c>
      <c r="E1144" s="87"/>
      <c r="F1144" s="94"/>
      <c r="G1144" s="94"/>
      <c r="H1144" s="94"/>
      <c r="I1144" s="94"/>
      <c r="J1144" s="94"/>
      <c r="K1144" s="94"/>
      <c r="L1144" s="94"/>
      <c r="M1144" s="94"/>
      <c r="N1144" s="94"/>
      <c r="O1144" s="94"/>
      <c r="P1144" s="94"/>
      <c r="Q1144" s="94"/>
      <c r="R1144" s="94"/>
      <c r="S1144" s="94"/>
      <c r="T1144" s="94"/>
      <c r="U1144" s="94"/>
      <c r="V1144" s="94"/>
      <c r="W1144" s="94"/>
      <c r="X1144" s="94"/>
      <c r="Y1144" s="9"/>
      <c r="Z1144" s="9"/>
    </row>
    <row r="1145" spans="1:26" ht="15.75" customHeight="1">
      <c r="A1145" s="92">
        <v>22</v>
      </c>
      <c r="B1145" s="93"/>
      <c r="C1145" s="93" t="s">
        <v>2584</v>
      </c>
      <c r="D1145" s="81" t="s">
        <v>2585</v>
      </c>
      <c r="E1145" s="87"/>
      <c r="F1145" s="94"/>
      <c r="G1145" s="94"/>
      <c r="H1145" s="94"/>
      <c r="I1145" s="94"/>
      <c r="J1145" s="94"/>
      <c r="K1145" s="94"/>
      <c r="L1145" s="94"/>
      <c r="M1145" s="94"/>
      <c r="N1145" s="94"/>
      <c r="O1145" s="94"/>
      <c r="P1145" s="94"/>
      <c r="Q1145" s="94"/>
      <c r="R1145" s="94"/>
      <c r="S1145" s="94"/>
      <c r="T1145" s="94"/>
      <c r="U1145" s="94"/>
      <c r="V1145" s="94"/>
      <c r="W1145" s="94"/>
      <c r="X1145" s="94"/>
      <c r="Y1145" s="9"/>
      <c r="Z1145" s="9"/>
    </row>
    <row r="1146" spans="1:26" ht="15.75" customHeight="1">
      <c r="A1146" s="92">
        <v>23</v>
      </c>
      <c r="B1146" s="93"/>
      <c r="C1146" s="93" t="s">
        <v>2586</v>
      </c>
      <c r="D1146" s="81" t="s">
        <v>2587</v>
      </c>
      <c r="E1146" s="87"/>
      <c r="F1146" s="94"/>
      <c r="G1146" s="94"/>
      <c r="H1146" s="94"/>
      <c r="I1146" s="94"/>
      <c r="J1146" s="94"/>
      <c r="K1146" s="94"/>
      <c r="L1146" s="94"/>
      <c r="M1146" s="94"/>
      <c r="N1146" s="94"/>
      <c r="O1146" s="94"/>
      <c r="P1146" s="94"/>
      <c r="Q1146" s="94"/>
      <c r="R1146" s="94"/>
      <c r="S1146" s="94"/>
      <c r="T1146" s="94"/>
      <c r="U1146" s="94"/>
      <c r="V1146" s="94"/>
      <c r="W1146" s="94"/>
      <c r="X1146" s="94"/>
      <c r="Y1146" s="9"/>
      <c r="Z1146" s="9"/>
    </row>
    <row r="1147" spans="1:26" ht="15.75" customHeight="1">
      <c r="A1147" s="92">
        <v>24</v>
      </c>
      <c r="B1147" s="93"/>
      <c r="C1147" s="93" t="s">
        <v>2588</v>
      </c>
      <c r="D1147" s="81" t="s">
        <v>2589</v>
      </c>
      <c r="E1147" s="87"/>
      <c r="F1147" s="94"/>
      <c r="G1147" s="94"/>
      <c r="H1147" s="94"/>
      <c r="I1147" s="94"/>
      <c r="J1147" s="94"/>
      <c r="K1147" s="94"/>
      <c r="L1147" s="94"/>
      <c r="M1147" s="94"/>
      <c r="N1147" s="94"/>
      <c r="O1147" s="94"/>
      <c r="P1147" s="94"/>
      <c r="Q1147" s="94"/>
      <c r="R1147" s="94"/>
      <c r="S1147" s="94"/>
      <c r="T1147" s="94"/>
      <c r="U1147" s="94"/>
      <c r="V1147" s="94"/>
      <c r="W1147" s="94"/>
      <c r="X1147" s="94"/>
      <c r="Y1147" s="9"/>
      <c r="Z1147" s="9"/>
    </row>
    <row r="1148" spans="1:26" ht="15.75" customHeight="1">
      <c r="A1148" s="92">
        <v>25</v>
      </c>
      <c r="B1148" s="93"/>
      <c r="C1148" s="93" t="s">
        <v>2590</v>
      </c>
      <c r="D1148" s="81" t="s">
        <v>2591</v>
      </c>
      <c r="E1148" s="87"/>
      <c r="F1148" s="94"/>
      <c r="G1148" s="94"/>
      <c r="H1148" s="94"/>
      <c r="I1148" s="94"/>
      <c r="J1148" s="94"/>
      <c r="K1148" s="94"/>
      <c r="L1148" s="94"/>
      <c r="M1148" s="94"/>
      <c r="N1148" s="94"/>
      <c r="O1148" s="94"/>
      <c r="P1148" s="94"/>
      <c r="Q1148" s="94"/>
      <c r="R1148" s="94"/>
      <c r="S1148" s="94"/>
      <c r="T1148" s="94"/>
      <c r="U1148" s="94"/>
      <c r="V1148" s="94"/>
      <c r="W1148" s="94"/>
      <c r="X1148" s="94"/>
      <c r="Y1148" s="9"/>
      <c r="Z1148" s="9"/>
    </row>
    <row r="1149" spans="1:26" ht="15.75" customHeight="1">
      <c r="A1149" s="92">
        <v>26</v>
      </c>
      <c r="B1149" s="93"/>
      <c r="C1149" s="93" t="s">
        <v>2592</v>
      </c>
      <c r="D1149" s="81" t="s">
        <v>2593</v>
      </c>
      <c r="E1149" s="87"/>
      <c r="F1149" s="94"/>
      <c r="G1149" s="94"/>
      <c r="H1149" s="94"/>
      <c r="I1149" s="94"/>
      <c r="J1149" s="94"/>
      <c r="K1149" s="94"/>
      <c r="L1149" s="94"/>
      <c r="M1149" s="94"/>
      <c r="N1149" s="94"/>
      <c r="O1149" s="94"/>
      <c r="P1149" s="94"/>
      <c r="Q1149" s="94"/>
      <c r="R1149" s="94"/>
      <c r="S1149" s="94"/>
      <c r="T1149" s="94"/>
      <c r="U1149" s="94"/>
      <c r="V1149" s="94"/>
      <c r="W1149" s="94"/>
      <c r="X1149" s="94"/>
      <c r="Y1149" s="9"/>
      <c r="Z1149" s="9"/>
    </row>
    <row r="1150" spans="1:26" ht="15.75" customHeight="1">
      <c r="A1150" s="92">
        <v>27</v>
      </c>
      <c r="B1150" s="93"/>
      <c r="C1150" s="93" t="s">
        <v>2594</v>
      </c>
      <c r="D1150" s="81" t="s">
        <v>2595</v>
      </c>
      <c r="E1150" s="87"/>
      <c r="F1150" s="94"/>
      <c r="G1150" s="94"/>
      <c r="H1150" s="94"/>
      <c r="I1150" s="94"/>
      <c r="J1150" s="94"/>
      <c r="K1150" s="94"/>
      <c r="L1150" s="94"/>
      <c r="M1150" s="94"/>
      <c r="N1150" s="94"/>
      <c r="O1150" s="94"/>
      <c r="P1150" s="94"/>
      <c r="Q1150" s="94"/>
      <c r="R1150" s="94"/>
      <c r="S1150" s="94"/>
      <c r="T1150" s="94"/>
      <c r="U1150" s="94"/>
      <c r="V1150" s="94"/>
      <c r="W1150" s="94"/>
      <c r="X1150" s="94"/>
      <c r="Y1150" s="9"/>
      <c r="Z1150" s="9"/>
    </row>
    <row r="1151" spans="1:26" ht="15.75" customHeight="1">
      <c r="A1151" s="92">
        <v>28</v>
      </c>
      <c r="B1151" s="93"/>
      <c r="C1151" s="93" t="s">
        <v>2596</v>
      </c>
      <c r="D1151" s="81" t="s">
        <v>2597</v>
      </c>
      <c r="E1151" s="87"/>
      <c r="F1151" s="94"/>
      <c r="G1151" s="94"/>
      <c r="H1151" s="94"/>
      <c r="I1151" s="94"/>
      <c r="J1151" s="94"/>
      <c r="K1151" s="94"/>
      <c r="L1151" s="94"/>
      <c r="M1151" s="94"/>
      <c r="N1151" s="94"/>
      <c r="O1151" s="94"/>
      <c r="P1151" s="94"/>
      <c r="Q1151" s="94"/>
      <c r="R1151" s="94"/>
      <c r="S1151" s="94"/>
      <c r="T1151" s="94"/>
      <c r="U1151" s="94"/>
      <c r="V1151" s="94"/>
      <c r="W1151" s="94"/>
      <c r="X1151" s="94"/>
      <c r="Y1151" s="9"/>
      <c r="Z1151" s="9"/>
    </row>
    <row r="1152" spans="1:26" ht="15.75" customHeight="1">
      <c r="A1152" s="92">
        <v>29</v>
      </c>
      <c r="B1152" s="93"/>
      <c r="C1152" s="93" t="s">
        <v>2598</v>
      </c>
      <c r="D1152" s="81" t="s">
        <v>2599</v>
      </c>
      <c r="E1152" s="87"/>
      <c r="F1152" s="94"/>
      <c r="G1152" s="94"/>
      <c r="H1152" s="94"/>
      <c r="I1152" s="94"/>
      <c r="J1152" s="94"/>
      <c r="K1152" s="94"/>
      <c r="L1152" s="94"/>
      <c r="M1152" s="94"/>
      <c r="N1152" s="94"/>
      <c r="O1152" s="94"/>
      <c r="P1152" s="94"/>
      <c r="Q1152" s="94"/>
      <c r="R1152" s="94"/>
      <c r="S1152" s="94"/>
      <c r="T1152" s="94"/>
      <c r="U1152" s="94"/>
      <c r="V1152" s="94"/>
      <c r="W1152" s="94"/>
      <c r="X1152" s="94"/>
      <c r="Y1152" s="9"/>
      <c r="Z1152" s="9"/>
    </row>
    <row r="1153" spans="1:25" ht="15.75" customHeight="1">
      <c r="A1153" s="92">
        <v>30</v>
      </c>
      <c r="B1153" s="93"/>
      <c r="C1153" s="93" t="s">
        <v>2600</v>
      </c>
      <c r="D1153" s="81" t="s">
        <v>2601</v>
      </c>
      <c r="E1153" s="87"/>
      <c r="F1153" s="90"/>
      <c r="G1153" s="90"/>
      <c r="H1153" s="90"/>
      <c r="I1153" s="90"/>
      <c r="J1153" s="90"/>
      <c r="K1153" s="90"/>
      <c r="L1153" s="90"/>
      <c r="M1153" s="90"/>
      <c r="N1153" s="90"/>
      <c r="O1153" s="90"/>
      <c r="P1153" s="90"/>
      <c r="Q1153" s="90"/>
      <c r="R1153" s="90"/>
      <c r="S1153" s="90"/>
      <c r="T1153" s="90"/>
      <c r="U1153" s="90"/>
      <c r="V1153" s="90"/>
      <c r="W1153" s="90"/>
      <c r="X1153" s="90"/>
    </row>
    <row r="1154" spans="1:25" ht="15.75" customHeight="1">
      <c r="A1154" s="92">
        <v>31</v>
      </c>
      <c r="B1154" s="93"/>
      <c r="C1154" s="93" t="s">
        <v>2602</v>
      </c>
      <c r="D1154" s="81" t="s">
        <v>2603</v>
      </c>
      <c r="E1154" s="87"/>
      <c r="F1154" s="90"/>
      <c r="G1154" s="90"/>
      <c r="H1154" s="90"/>
      <c r="I1154" s="90"/>
      <c r="J1154" s="90"/>
      <c r="K1154" s="90"/>
      <c r="L1154" s="90"/>
      <c r="M1154" s="90"/>
      <c r="N1154" s="90"/>
      <c r="O1154" s="90"/>
      <c r="P1154" s="90"/>
      <c r="Q1154" s="90"/>
      <c r="R1154" s="90"/>
      <c r="S1154" s="90"/>
      <c r="T1154" s="90"/>
      <c r="U1154" s="90"/>
      <c r="V1154" s="90"/>
      <c r="W1154" s="90"/>
      <c r="X1154" s="90"/>
    </row>
    <row r="1155" spans="1:25" ht="15.75" customHeight="1">
      <c r="A1155" s="92">
        <v>32</v>
      </c>
      <c r="B1155" s="93"/>
      <c r="C1155" s="93" t="s">
        <v>2604</v>
      </c>
      <c r="D1155" s="81" t="s">
        <v>2605</v>
      </c>
      <c r="E1155" s="87"/>
      <c r="F1155" s="90"/>
      <c r="G1155" s="90"/>
      <c r="H1155" s="90"/>
      <c r="I1155" s="90"/>
      <c r="J1155" s="90"/>
      <c r="K1155" s="90"/>
      <c r="L1155" s="90"/>
      <c r="M1155" s="90"/>
      <c r="N1155" s="90"/>
      <c r="O1155" s="90"/>
      <c r="P1155" s="90"/>
      <c r="Q1155" s="90"/>
      <c r="R1155" s="90"/>
      <c r="S1155" s="90"/>
      <c r="T1155" s="90"/>
      <c r="U1155" s="90"/>
      <c r="V1155" s="90"/>
      <c r="W1155" s="90"/>
      <c r="X1155" s="90"/>
    </row>
    <row r="1156" spans="1:25" ht="15.75" customHeight="1">
      <c r="A1156" s="92">
        <v>33</v>
      </c>
      <c r="B1156" s="93"/>
      <c r="C1156" s="93" t="s">
        <v>2606</v>
      </c>
      <c r="D1156" s="81" t="s">
        <v>2607</v>
      </c>
      <c r="E1156" s="87"/>
      <c r="F1156" s="90"/>
      <c r="G1156" s="90"/>
      <c r="H1156" s="90"/>
      <c r="I1156" s="90"/>
      <c r="J1156" s="90"/>
      <c r="K1156" s="90"/>
      <c r="L1156" s="90"/>
      <c r="M1156" s="90"/>
      <c r="N1156" s="90"/>
      <c r="O1156" s="90"/>
      <c r="P1156" s="90"/>
      <c r="Q1156" s="90"/>
      <c r="R1156" s="90"/>
      <c r="S1156" s="90"/>
      <c r="T1156" s="90"/>
      <c r="U1156" s="90"/>
      <c r="V1156" s="90"/>
      <c r="W1156" s="90"/>
      <c r="X1156" s="90"/>
    </row>
    <row r="1157" spans="1:25" ht="15.75" customHeight="1">
      <c r="A1157" s="92">
        <v>35</v>
      </c>
      <c r="B1157" s="93"/>
      <c r="C1157" s="93"/>
      <c r="D1157" s="81"/>
      <c r="E1157" s="87"/>
      <c r="F1157" s="90"/>
      <c r="G1157" s="90"/>
      <c r="H1157" s="90"/>
      <c r="I1157" s="90"/>
      <c r="J1157" s="90"/>
      <c r="K1157" s="90"/>
      <c r="L1157" s="90"/>
      <c r="M1157" s="90"/>
      <c r="N1157" s="90"/>
      <c r="O1157" s="90"/>
      <c r="P1157" s="90"/>
      <c r="Q1157" s="90"/>
      <c r="R1157" s="90"/>
      <c r="S1157" s="90"/>
      <c r="T1157" s="90"/>
      <c r="U1157" s="90"/>
      <c r="V1157" s="90"/>
      <c r="W1157" s="90"/>
      <c r="X1157" s="90"/>
    </row>
    <row r="1158" spans="1:25" ht="15.75" customHeight="1">
      <c r="A1158" s="92">
        <v>36</v>
      </c>
      <c r="B1158" s="93"/>
      <c r="C1158" s="93"/>
      <c r="D1158" s="81"/>
      <c r="E1158" s="87"/>
      <c r="F1158" s="90"/>
      <c r="G1158" s="90"/>
      <c r="H1158" s="90"/>
      <c r="I1158" s="90"/>
      <c r="J1158" s="90"/>
      <c r="K1158" s="90"/>
      <c r="L1158" s="90"/>
      <c r="M1158" s="90"/>
      <c r="N1158" s="90"/>
      <c r="O1158" s="90"/>
      <c r="P1158" s="90"/>
      <c r="Q1158" s="90"/>
      <c r="R1158" s="90"/>
      <c r="S1158" s="90"/>
      <c r="T1158" s="90"/>
      <c r="U1158" s="90"/>
      <c r="V1158" s="90"/>
      <c r="W1158" s="90"/>
      <c r="X1158" s="90"/>
    </row>
    <row r="1159" spans="1:25" ht="15.75" customHeight="1">
      <c r="A1159" s="92">
        <v>37</v>
      </c>
      <c r="B1159" s="93"/>
      <c r="C1159" s="93"/>
      <c r="D1159" s="81"/>
      <c r="E1159" s="87"/>
      <c r="F1159" s="90"/>
      <c r="G1159" s="90"/>
      <c r="H1159" s="90"/>
      <c r="I1159" s="90"/>
      <c r="J1159" s="90"/>
      <c r="K1159" s="90"/>
      <c r="L1159" s="90"/>
      <c r="M1159" s="90"/>
      <c r="N1159" s="90"/>
      <c r="O1159" s="90"/>
      <c r="P1159" s="90"/>
      <c r="Q1159" s="90"/>
      <c r="R1159" s="90"/>
      <c r="S1159" s="90"/>
      <c r="T1159" s="90"/>
      <c r="U1159" s="90"/>
      <c r="V1159" s="90"/>
      <c r="W1159" s="90"/>
      <c r="X1159" s="90"/>
    </row>
    <row r="1160" spans="1:25" ht="15.75" customHeight="1">
      <c r="A1160" s="92">
        <v>38</v>
      </c>
      <c r="B1160" s="93"/>
      <c r="C1160" s="93"/>
      <c r="D1160" s="81"/>
      <c r="E1160" s="87"/>
      <c r="F1160" s="90"/>
      <c r="G1160" s="90"/>
      <c r="H1160" s="90"/>
      <c r="I1160" s="90"/>
      <c r="J1160" s="90"/>
      <c r="K1160" s="90"/>
      <c r="L1160" s="90"/>
      <c r="M1160" s="90"/>
      <c r="N1160" s="90"/>
      <c r="O1160" s="90"/>
      <c r="P1160" s="90"/>
      <c r="Q1160" s="90"/>
      <c r="R1160" s="90"/>
      <c r="S1160" s="90"/>
      <c r="T1160" s="90"/>
      <c r="U1160" s="90"/>
      <c r="V1160" s="90"/>
      <c r="W1160" s="90"/>
      <c r="X1160" s="90"/>
    </row>
    <row r="1161" spans="1:25" ht="15.75" customHeight="1">
      <c r="A1161" s="77"/>
      <c r="B1161" s="79"/>
      <c r="C1161" s="79"/>
      <c r="D1161" s="66"/>
      <c r="E1161" s="10"/>
    </row>
    <row r="1162" spans="1:25">
      <c r="A1162" s="3"/>
      <c r="B1162" s="3"/>
      <c r="C1162" s="3"/>
      <c r="D1162" s="3" t="s">
        <v>864</v>
      </c>
      <c r="E1162" s="10">
        <f>SUM(E1163:E1164)</f>
        <v>0</v>
      </c>
      <c r="G1162" s="7"/>
      <c r="H1162" s="7"/>
    </row>
    <row r="1163" spans="1:25">
      <c r="A1163" s="3"/>
      <c r="B1163" s="3"/>
      <c r="C1163" s="3"/>
      <c r="D1163" s="43" t="s">
        <v>10</v>
      </c>
      <c r="E1163" s="41">
        <f>COUNTIF(E1123:E1160,"L")</f>
        <v>0</v>
      </c>
      <c r="G1163" s="2"/>
    </row>
    <row r="1164" spans="1:25">
      <c r="A1164" s="3"/>
      <c r="B1164" s="3"/>
      <c r="C1164" s="3"/>
      <c r="D1164" s="43" t="s">
        <v>11</v>
      </c>
      <c r="E1164" s="41">
        <f>COUNTIF(E1123:E1158,"P")</f>
        <v>0</v>
      </c>
      <c r="G1164" s="2"/>
      <c r="H1164" s="2"/>
      <c r="I1164" s="3"/>
      <c r="J1164" s="3"/>
      <c r="K1164" s="3"/>
      <c r="L1164" s="3"/>
      <c r="M1164" s="3"/>
      <c r="N1164" s="3"/>
      <c r="O1164" s="3"/>
      <c r="P1164" s="3"/>
      <c r="Q1164" s="3"/>
      <c r="R1164" s="1"/>
      <c r="S1164" s="2"/>
      <c r="T1164" s="2"/>
      <c r="U1164" s="2"/>
      <c r="V1164" s="2"/>
      <c r="W1164" s="2"/>
      <c r="X1164" s="3"/>
      <c r="Y1164" s="2"/>
    </row>
    <row r="1165" spans="1:25">
      <c r="A1165" s="1" t="s">
        <v>12</v>
      </c>
      <c r="B1165" s="1"/>
      <c r="C1165" s="1"/>
      <c r="E1165" s="1"/>
      <c r="F1165" s="2"/>
      <c r="G1165" s="2"/>
      <c r="H1165" s="2"/>
      <c r="I1165" s="3"/>
      <c r="J1165" s="3"/>
      <c r="K1165" s="3"/>
      <c r="L1165" s="3"/>
      <c r="M1165" s="3"/>
      <c r="N1165" s="3"/>
      <c r="O1165" s="3"/>
      <c r="P1165" s="1" t="s">
        <v>1605</v>
      </c>
      <c r="Q1165" s="2"/>
      <c r="T1165" s="2"/>
      <c r="U1165" s="2"/>
      <c r="V1165" s="2"/>
      <c r="W1165" s="2"/>
      <c r="X1165" s="3"/>
      <c r="Y1165" s="2"/>
    </row>
    <row r="1166" spans="1:25">
      <c r="A1166" s="1" t="s">
        <v>13</v>
      </c>
      <c r="B1166" s="1"/>
      <c r="C1166" s="1"/>
      <c r="E1166" s="1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1" t="s">
        <v>14</v>
      </c>
      <c r="Q1166" s="3"/>
      <c r="S1166" s="2"/>
      <c r="T1166" s="2"/>
      <c r="U1166" s="2"/>
      <c r="V1166" s="2"/>
      <c r="W1166" s="2"/>
      <c r="X1166" s="3"/>
      <c r="Y1166" s="2"/>
    </row>
    <row r="1167" spans="1:25">
      <c r="A1167" s="1"/>
      <c r="B1167" s="1"/>
      <c r="C1167" s="1"/>
      <c r="D1167" s="1"/>
      <c r="E1167" s="1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1"/>
      <c r="Q1167" s="3"/>
      <c r="S1167" s="2"/>
      <c r="T1167" s="2"/>
      <c r="U1167" s="2"/>
      <c r="V1167" s="2"/>
      <c r="W1167" s="2"/>
      <c r="X1167" s="3"/>
      <c r="Y1167" s="2"/>
    </row>
    <row r="1168" spans="1:25">
      <c r="A1168" s="1"/>
      <c r="B1168" s="1"/>
      <c r="C1168" s="1"/>
      <c r="D1168" s="1"/>
      <c r="E1168" s="1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S1168" s="2"/>
      <c r="T1168" s="2"/>
      <c r="U1168" s="2"/>
      <c r="V1168" s="2"/>
      <c r="W1168" s="2"/>
      <c r="X1168" s="2"/>
      <c r="Y1168" s="2"/>
    </row>
    <row r="1169" spans="1:25" ht="15.75">
      <c r="A1169" s="8" t="s">
        <v>854</v>
      </c>
      <c r="B1169" s="8"/>
      <c r="C1169" s="8"/>
      <c r="D1169" s="8"/>
      <c r="E1169" s="8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8" t="s">
        <v>16</v>
      </c>
      <c r="Q1169" s="8"/>
      <c r="S1169" s="2"/>
      <c r="T1169" s="9"/>
      <c r="U1169" s="9"/>
      <c r="V1169" s="9"/>
      <c r="W1169" s="9"/>
      <c r="X1169" s="9"/>
      <c r="Y1169" s="9"/>
    </row>
    <row r="1170" spans="1:25" ht="15.75">
      <c r="A1170" s="8" t="s">
        <v>855</v>
      </c>
      <c r="B1170" s="8"/>
      <c r="C1170" s="8"/>
      <c r="D1170" s="8"/>
      <c r="E1170" s="8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8" t="s">
        <v>17</v>
      </c>
      <c r="Q1170" s="2"/>
      <c r="T1170" s="9"/>
      <c r="U1170" s="9"/>
      <c r="V1170" s="9"/>
    </row>
    <row r="1171" spans="1:25" ht="15.75">
      <c r="A1171" s="53"/>
      <c r="B1171" s="53"/>
      <c r="C1171" s="53"/>
      <c r="D1171" s="5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  <c r="X1171" s="53"/>
      <c r="Y1171" s="53"/>
    </row>
    <row r="1172" spans="1:25" ht="15.75">
      <c r="A1172" s="53"/>
      <c r="B1172" s="53"/>
      <c r="C1172" s="53"/>
      <c r="D1172" s="5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  <c r="X1172" s="53"/>
      <c r="Y1172" s="53"/>
    </row>
    <row r="1173" spans="1:25" ht="15.75">
      <c r="A1173" s="53"/>
      <c r="B1173" s="53"/>
      <c r="C1173" s="53"/>
      <c r="D1173" s="5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3"/>
      <c r="Y1173" s="53"/>
    </row>
    <row r="1174" spans="1:25" ht="15.75">
      <c r="A1174" s="53"/>
      <c r="B1174" s="53"/>
      <c r="C1174" s="53"/>
      <c r="D1174" s="5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  <c r="X1174" s="53"/>
      <c r="Y1174" s="53"/>
    </row>
  </sheetData>
  <sortState xmlns:xlrd2="http://schemas.microsoft.com/office/spreadsheetml/2017/richdata2" ref="C1038:D1069">
    <sortCondition ref="D1038:D1069"/>
  </sortState>
  <mergeCells count="168">
    <mergeCell ref="A9:X9"/>
    <mergeCell ref="A10:X10"/>
    <mergeCell ref="A13:B13"/>
    <mergeCell ref="A15:B15"/>
    <mergeCell ref="D17:Y17"/>
    <mergeCell ref="A18:A19"/>
    <mergeCell ref="B18:B19"/>
    <mergeCell ref="C18:C19"/>
    <mergeCell ref="D18:D19"/>
    <mergeCell ref="E18:E19"/>
    <mergeCell ref="D102:Y102"/>
    <mergeCell ref="A103:A104"/>
    <mergeCell ref="B103:B104"/>
    <mergeCell ref="C103:C104"/>
    <mergeCell ref="D103:D104"/>
    <mergeCell ref="E103:E104"/>
    <mergeCell ref="F103:U103"/>
    <mergeCell ref="V103:X103"/>
    <mergeCell ref="F18:U18"/>
    <mergeCell ref="V18:X18"/>
    <mergeCell ref="A94:X94"/>
    <mergeCell ref="A95:X95"/>
    <mergeCell ref="A98:B98"/>
    <mergeCell ref="A100:B100"/>
    <mergeCell ref="A178:X178"/>
    <mergeCell ref="A179:X179"/>
    <mergeCell ref="A182:B182"/>
    <mergeCell ref="A184:B184"/>
    <mergeCell ref="D186:Y186"/>
    <mergeCell ref="A187:A188"/>
    <mergeCell ref="B187:B188"/>
    <mergeCell ref="C187:C188"/>
    <mergeCell ref="D187:D188"/>
    <mergeCell ref="E187:E188"/>
    <mergeCell ref="D272:Y272"/>
    <mergeCell ref="A273:A274"/>
    <mergeCell ref="B273:B274"/>
    <mergeCell ref="C273:C274"/>
    <mergeCell ref="D273:D274"/>
    <mergeCell ref="E273:E274"/>
    <mergeCell ref="F273:U273"/>
    <mergeCell ref="V273:X273"/>
    <mergeCell ref="F187:U187"/>
    <mergeCell ref="V187:X187"/>
    <mergeCell ref="A264:X264"/>
    <mergeCell ref="A265:X265"/>
    <mergeCell ref="A268:B268"/>
    <mergeCell ref="A270:B270"/>
    <mergeCell ref="A350:X350"/>
    <mergeCell ref="A351:X351"/>
    <mergeCell ref="A354:B354"/>
    <mergeCell ref="A356:B356"/>
    <mergeCell ref="D358:Y358"/>
    <mergeCell ref="A359:A360"/>
    <mergeCell ref="B359:B360"/>
    <mergeCell ref="C359:C360"/>
    <mergeCell ref="D359:D360"/>
    <mergeCell ref="E359:E360"/>
    <mergeCell ref="D441:Y441"/>
    <mergeCell ref="A442:A443"/>
    <mergeCell ref="B442:B443"/>
    <mergeCell ref="C442:C443"/>
    <mergeCell ref="D442:D443"/>
    <mergeCell ref="E442:E443"/>
    <mergeCell ref="F442:U442"/>
    <mergeCell ref="V442:X442"/>
    <mergeCell ref="F359:U359"/>
    <mergeCell ref="V359:X359"/>
    <mergeCell ref="A433:X433"/>
    <mergeCell ref="A434:X434"/>
    <mergeCell ref="A437:B437"/>
    <mergeCell ref="A439:B439"/>
    <mergeCell ref="A520:X520"/>
    <mergeCell ref="A521:X521"/>
    <mergeCell ref="A524:B524"/>
    <mergeCell ref="A526:B526"/>
    <mergeCell ref="D528:Y528"/>
    <mergeCell ref="A529:A530"/>
    <mergeCell ref="B529:B530"/>
    <mergeCell ref="C529:C530"/>
    <mergeCell ref="D529:D530"/>
    <mergeCell ref="E529:E530"/>
    <mergeCell ref="D611:Y611"/>
    <mergeCell ref="A612:A613"/>
    <mergeCell ref="B612:B613"/>
    <mergeCell ref="C612:C613"/>
    <mergeCell ref="D612:D613"/>
    <mergeCell ref="E612:E613"/>
    <mergeCell ref="F612:U612"/>
    <mergeCell ref="V612:X612"/>
    <mergeCell ref="F529:U529"/>
    <mergeCell ref="V529:X529"/>
    <mergeCell ref="A603:X603"/>
    <mergeCell ref="A604:X604"/>
    <mergeCell ref="A607:B607"/>
    <mergeCell ref="A609:B609"/>
    <mergeCell ref="A687:X687"/>
    <mergeCell ref="A688:X688"/>
    <mergeCell ref="A691:B691"/>
    <mergeCell ref="A693:B693"/>
    <mergeCell ref="D695:Y695"/>
    <mergeCell ref="A696:A697"/>
    <mergeCell ref="B696:B697"/>
    <mergeCell ref="C696:C697"/>
    <mergeCell ref="D696:D697"/>
    <mergeCell ref="E696:E697"/>
    <mergeCell ref="D779:Y779"/>
    <mergeCell ref="A780:A781"/>
    <mergeCell ref="B780:B781"/>
    <mergeCell ref="C780:C781"/>
    <mergeCell ref="D780:D781"/>
    <mergeCell ref="E780:E781"/>
    <mergeCell ref="F780:U780"/>
    <mergeCell ref="V780:X780"/>
    <mergeCell ref="F696:U696"/>
    <mergeCell ref="V696:X696"/>
    <mergeCell ref="A771:X771"/>
    <mergeCell ref="A772:X772"/>
    <mergeCell ref="A775:B775"/>
    <mergeCell ref="A777:B777"/>
    <mergeCell ref="A857:X857"/>
    <mergeCell ref="A858:X858"/>
    <mergeCell ref="A861:B861"/>
    <mergeCell ref="A863:B863"/>
    <mergeCell ref="D865:Y865"/>
    <mergeCell ref="A866:A867"/>
    <mergeCell ref="B866:B867"/>
    <mergeCell ref="C866:C867"/>
    <mergeCell ref="D866:D867"/>
    <mergeCell ref="E866:E867"/>
    <mergeCell ref="D950:Y950"/>
    <mergeCell ref="A951:A952"/>
    <mergeCell ref="B951:B952"/>
    <mergeCell ref="C951:C952"/>
    <mergeCell ref="D951:D952"/>
    <mergeCell ref="E951:E952"/>
    <mergeCell ref="F951:U951"/>
    <mergeCell ref="V951:X951"/>
    <mergeCell ref="F866:U866"/>
    <mergeCell ref="V866:X866"/>
    <mergeCell ref="A942:X942"/>
    <mergeCell ref="A943:X943"/>
    <mergeCell ref="A946:B946"/>
    <mergeCell ref="A948:B948"/>
    <mergeCell ref="A1026:X1026"/>
    <mergeCell ref="A1027:X1027"/>
    <mergeCell ref="A1030:B1030"/>
    <mergeCell ref="A1032:B1032"/>
    <mergeCell ref="D1034:Y1034"/>
    <mergeCell ref="A1035:A1036"/>
    <mergeCell ref="B1035:B1036"/>
    <mergeCell ref="C1035:C1036"/>
    <mergeCell ref="D1035:D1036"/>
    <mergeCell ref="D1119:Y1119"/>
    <mergeCell ref="A1120:A1121"/>
    <mergeCell ref="B1120:B1121"/>
    <mergeCell ref="C1120:C1121"/>
    <mergeCell ref="D1120:D1121"/>
    <mergeCell ref="F1120:U1120"/>
    <mergeCell ref="V1120:X1120"/>
    <mergeCell ref="F1035:U1035"/>
    <mergeCell ref="V1035:X1035"/>
    <mergeCell ref="A1111:X1111"/>
    <mergeCell ref="A1112:X1112"/>
    <mergeCell ref="A1115:B1115"/>
    <mergeCell ref="A1117:B1117"/>
    <mergeCell ref="E1120:E1121"/>
    <mergeCell ref="E1035:E1036"/>
  </mergeCells>
  <pageMargins left="0.7" right="0.7" top="0.75" bottom="0.75" header="0.3" footer="0.3"/>
  <pageSetup paperSize="9" scale="5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15"/>
  <sheetViews>
    <sheetView topLeftCell="A667" zoomScale="70" zoomScaleNormal="70" workbookViewId="0">
      <selection activeCell="AD738" sqref="AD738"/>
    </sheetView>
  </sheetViews>
  <sheetFormatPr defaultRowHeight="15"/>
  <cols>
    <col min="1" max="1" width="3.7109375" style="112" customWidth="1"/>
    <col min="2" max="2" width="12.7109375" style="112" customWidth="1"/>
    <col min="3" max="3" width="14" style="112" customWidth="1"/>
    <col min="4" max="4" width="37.28515625" style="112" customWidth="1"/>
    <col min="5" max="5" width="3.42578125" customWidth="1"/>
    <col min="6" max="6" width="3.5703125" customWidth="1"/>
    <col min="7" max="7" width="3.28515625" customWidth="1"/>
    <col min="8" max="25" width="3.5703125" customWidth="1"/>
    <col min="26" max="26" width="3.7109375" customWidth="1"/>
    <col min="28" max="28" width="15.7109375" customWidth="1"/>
    <col min="34" max="35" width="9.28515625" customWidth="1"/>
  </cols>
  <sheetData>
    <row r="1" spans="1:26" ht="15.75" customHeight="1"/>
    <row r="2" spans="1:26" ht="15.75" customHeight="1"/>
    <row r="3" spans="1:26" ht="15.75" customHeight="1"/>
    <row r="4" spans="1:26" ht="15.75" customHeight="1"/>
    <row r="5" spans="1:26" ht="15.75" customHeight="1"/>
    <row r="6" spans="1:26" ht="15.75" customHeight="1"/>
    <row r="7" spans="1:26" ht="15.75" customHeight="1"/>
    <row r="8" spans="1:26" ht="15.75" customHeight="1"/>
    <row r="9" spans="1:26" ht="15.75" customHeight="1">
      <c r="A9" s="211" t="s">
        <v>132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</row>
    <row r="10" spans="1:26" ht="15.75" customHeight="1">
      <c r="A10" s="211" t="s">
        <v>0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8"/>
      <c r="Z10" s="8"/>
    </row>
    <row r="11" spans="1:26" ht="15.75" customHeight="1">
      <c r="Y11" s="8"/>
      <c r="Z11" s="8"/>
    </row>
    <row r="12" spans="1:26" ht="15.75" customHeight="1">
      <c r="A12" s="194" t="s">
        <v>133</v>
      </c>
      <c r="B12" s="194"/>
      <c r="C12" s="195" t="s">
        <v>388</v>
      </c>
      <c r="D12" s="194"/>
      <c r="E12" s="191" t="s">
        <v>1623</v>
      </c>
      <c r="F12" s="189"/>
      <c r="G12" s="189"/>
      <c r="H12" s="189"/>
      <c r="I12" s="189"/>
      <c r="J12" s="189"/>
      <c r="K12" s="189"/>
      <c r="L12" s="189" t="s">
        <v>1624</v>
      </c>
      <c r="M12" s="191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8"/>
    </row>
    <row r="13" spans="1:26" ht="15.75" customHeight="1">
      <c r="A13" s="221" t="s">
        <v>134</v>
      </c>
      <c r="B13" s="221"/>
      <c r="C13" s="195" t="s">
        <v>21</v>
      </c>
      <c r="D13" s="197"/>
      <c r="E13" s="193" t="s">
        <v>1621</v>
      </c>
      <c r="F13" s="190"/>
      <c r="G13" s="190"/>
      <c r="H13" s="190"/>
      <c r="I13" s="190"/>
      <c r="J13" s="190"/>
      <c r="K13" s="190"/>
      <c r="L13" s="190" t="s">
        <v>1622</v>
      </c>
      <c r="M13" s="190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"/>
    </row>
    <row r="14" spans="1:26" ht="15.75" customHeight="1">
      <c r="A14" s="198"/>
      <c r="B14" s="198"/>
      <c r="C14" s="198"/>
      <c r="D14" s="197"/>
      <c r="E14" s="193" t="s">
        <v>1625</v>
      </c>
      <c r="F14" s="190"/>
      <c r="G14" s="190"/>
      <c r="H14" s="190"/>
      <c r="I14" s="190"/>
      <c r="J14" s="190"/>
      <c r="K14" s="190"/>
      <c r="L14" s="190" t="s">
        <v>1626</v>
      </c>
      <c r="M14" s="190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"/>
    </row>
    <row r="15" spans="1:26" ht="15.75" customHeight="1">
      <c r="A15" s="221" t="s">
        <v>136</v>
      </c>
      <c r="B15" s="221"/>
      <c r="C15" s="195" t="s">
        <v>21</v>
      </c>
      <c r="D15" s="195"/>
      <c r="E15" s="191" t="s">
        <v>1627</v>
      </c>
      <c r="F15" s="189"/>
      <c r="G15" s="190"/>
      <c r="H15" s="189"/>
      <c r="I15" s="189"/>
      <c r="J15" s="189"/>
      <c r="K15" s="189" t="s">
        <v>1617</v>
      </c>
      <c r="L15" s="189" t="s">
        <v>1618</v>
      </c>
      <c r="M15" s="189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8"/>
    </row>
    <row r="16" spans="1:26" ht="15.75" customHeight="1">
      <c r="A16" s="127"/>
      <c r="B16" s="127"/>
      <c r="C16" s="128"/>
      <c r="D16" s="131"/>
      <c r="E16" s="23"/>
      <c r="F16" s="54"/>
      <c r="G16" s="16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8"/>
    </row>
    <row r="17" spans="1:32" ht="15.75" customHeight="1">
      <c r="A17" s="132"/>
      <c r="B17" s="132"/>
      <c r="C17" s="132"/>
      <c r="D17" s="205" t="s">
        <v>1599</v>
      </c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8"/>
    </row>
    <row r="18" spans="1:32" ht="15.75" customHeight="1" thickBot="1">
      <c r="A18" s="217" t="s">
        <v>1</v>
      </c>
      <c r="B18" s="217" t="s">
        <v>18</v>
      </c>
      <c r="C18" s="217" t="s">
        <v>2</v>
      </c>
      <c r="D18" s="217" t="s">
        <v>137</v>
      </c>
      <c r="E18" s="213" t="s">
        <v>3</v>
      </c>
      <c r="F18" s="208" t="s">
        <v>4</v>
      </c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10"/>
      <c r="V18" s="208" t="s">
        <v>5</v>
      </c>
      <c r="W18" s="209"/>
      <c r="X18" s="210"/>
    </row>
    <row r="19" spans="1:32" ht="15.75" customHeight="1">
      <c r="A19" s="219"/>
      <c r="B19" s="219"/>
      <c r="C19" s="219"/>
      <c r="D19" s="219"/>
      <c r="E19" s="214"/>
      <c r="F19" s="25">
        <v>1</v>
      </c>
      <c r="G19" s="25">
        <v>2</v>
      </c>
      <c r="H19" s="25">
        <v>3</v>
      </c>
      <c r="I19" s="25">
        <v>4</v>
      </c>
      <c r="J19" s="25">
        <v>5</v>
      </c>
      <c r="K19" s="25">
        <v>6</v>
      </c>
      <c r="L19" s="25">
        <v>7</v>
      </c>
      <c r="M19" s="25">
        <v>8</v>
      </c>
      <c r="N19" s="25">
        <v>9</v>
      </c>
      <c r="O19" s="25">
        <v>10</v>
      </c>
      <c r="P19" s="25">
        <v>11</v>
      </c>
      <c r="Q19" s="25">
        <v>12</v>
      </c>
      <c r="R19" s="25">
        <v>13</v>
      </c>
      <c r="S19" s="25">
        <v>14</v>
      </c>
      <c r="T19" s="25">
        <v>15</v>
      </c>
      <c r="U19" s="25">
        <v>16</v>
      </c>
      <c r="V19" s="25" t="s">
        <v>6</v>
      </c>
      <c r="W19" s="25" t="s">
        <v>7</v>
      </c>
      <c r="X19" s="25" t="s">
        <v>8</v>
      </c>
      <c r="Y19" s="9"/>
      <c r="Z19" s="9"/>
      <c r="AA19" s="26" t="s">
        <v>393</v>
      </c>
      <c r="AB19" s="27"/>
      <c r="AC19" s="27"/>
      <c r="AD19" s="28"/>
      <c r="AE19" s="28"/>
      <c r="AF19" s="29"/>
    </row>
    <row r="20" spans="1:32" ht="15.75" customHeight="1">
      <c r="A20" s="133"/>
      <c r="B20" s="133"/>
      <c r="C20" s="133"/>
      <c r="D20" s="133"/>
      <c r="E20" s="49" t="s">
        <v>394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9"/>
      <c r="Z20" s="9"/>
      <c r="AA20" s="31"/>
      <c r="AB20" s="32"/>
      <c r="AC20" s="32"/>
      <c r="AD20" s="33"/>
      <c r="AE20" s="33"/>
      <c r="AF20" s="34"/>
    </row>
    <row r="21" spans="1:32" ht="15.75" customHeight="1">
      <c r="A21" s="134">
        <v>1</v>
      </c>
      <c r="B21" s="107" t="s">
        <v>866</v>
      </c>
      <c r="C21" s="107">
        <v>252619221001</v>
      </c>
      <c r="D21" s="108" t="s">
        <v>395</v>
      </c>
      <c r="E21" s="12" t="s">
        <v>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9"/>
      <c r="Z21" s="9"/>
      <c r="AA21" s="31" t="s">
        <v>342</v>
      </c>
      <c r="AB21" s="32"/>
      <c r="AC21" s="32"/>
      <c r="AD21" s="33"/>
      <c r="AE21" s="33"/>
      <c r="AF21" s="34"/>
    </row>
    <row r="22" spans="1:32" ht="15.75" customHeight="1">
      <c r="A22" s="134">
        <v>2</v>
      </c>
      <c r="B22" s="107" t="s">
        <v>867</v>
      </c>
      <c r="C22" s="107">
        <v>252619221002</v>
      </c>
      <c r="D22" s="108" t="s">
        <v>396</v>
      </c>
      <c r="E22" s="12" t="s">
        <v>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9"/>
      <c r="Z22" s="9"/>
      <c r="AA22" s="31" t="s">
        <v>139</v>
      </c>
      <c r="AB22" s="32"/>
      <c r="AC22" s="32"/>
      <c r="AD22" s="33"/>
      <c r="AE22" s="33"/>
      <c r="AF22" s="34"/>
    </row>
    <row r="23" spans="1:32" ht="15.75" customHeight="1" thickBot="1">
      <c r="A23" s="134">
        <v>3</v>
      </c>
      <c r="B23" s="107" t="s">
        <v>868</v>
      </c>
      <c r="C23" s="107">
        <v>252619221003</v>
      </c>
      <c r="D23" s="108" t="s">
        <v>397</v>
      </c>
      <c r="E23" s="12" t="s">
        <v>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9"/>
      <c r="Z23" s="9"/>
      <c r="AA23" s="35" t="s">
        <v>140</v>
      </c>
      <c r="AB23" s="36"/>
      <c r="AC23" s="36"/>
      <c r="AD23" s="37"/>
      <c r="AE23" s="37"/>
      <c r="AF23" s="38"/>
    </row>
    <row r="24" spans="1:32" ht="15.75" customHeight="1">
      <c r="A24" s="134">
        <v>4</v>
      </c>
      <c r="B24" s="107" t="s">
        <v>869</v>
      </c>
      <c r="C24" s="107">
        <v>252619221004</v>
      </c>
      <c r="D24" s="108" t="s">
        <v>398</v>
      </c>
      <c r="E24" s="12" t="s">
        <v>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9"/>
      <c r="Z24" s="9"/>
      <c r="AA24" s="15"/>
      <c r="AB24" s="15"/>
      <c r="AC24" s="15"/>
    </row>
    <row r="25" spans="1:32" ht="15.75" customHeight="1">
      <c r="A25" s="134">
        <v>5</v>
      </c>
      <c r="B25" s="107" t="s">
        <v>870</v>
      </c>
      <c r="C25" s="107">
        <v>252619221005</v>
      </c>
      <c r="D25" s="108" t="s">
        <v>399</v>
      </c>
      <c r="E25" s="12" t="s">
        <v>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9"/>
      <c r="Z25" s="9"/>
      <c r="AB25" s="15"/>
      <c r="AC25" s="15"/>
      <c r="AD25" s="15"/>
    </row>
    <row r="26" spans="1:32" ht="15.75" customHeight="1">
      <c r="A26" s="134">
        <v>6</v>
      </c>
      <c r="B26" s="107" t="s">
        <v>871</v>
      </c>
      <c r="C26" s="107">
        <v>252619221006</v>
      </c>
      <c r="D26" s="108" t="s">
        <v>400</v>
      </c>
      <c r="E26" s="12" t="s">
        <v>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9"/>
      <c r="Z26" s="9"/>
    </row>
    <row r="27" spans="1:32" ht="15.75" customHeight="1">
      <c r="A27" s="134">
        <v>7</v>
      </c>
      <c r="B27" s="107" t="s">
        <v>872</v>
      </c>
      <c r="C27" s="107">
        <v>252619221007</v>
      </c>
      <c r="D27" s="108" t="s">
        <v>401</v>
      </c>
      <c r="E27" s="12" t="s">
        <v>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9"/>
      <c r="Z27" s="9"/>
    </row>
    <row r="28" spans="1:32" ht="15.75" customHeight="1">
      <c r="A28" s="134">
        <v>8</v>
      </c>
      <c r="B28" s="107" t="s">
        <v>873</v>
      </c>
      <c r="C28" s="107">
        <v>252619221008</v>
      </c>
      <c r="D28" s="108" t="s">
        <v>402</v>
      </c>
      <c r="E28" s="12" t="s">
        <v>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9"/>
      <c r="Z28" s="9"/>
    </row>
    <row r="29" spans="1:32" ht="15.75" customHeight="1">
      <c r="A29" s="134">
        <v>9</v>
      </c>
      <c r="B29" s="107" t="s">
        <v>874</v>
      </c>
      <c r="C29" s="107">
        <v>252619221009</v>
      </c>
      <c r="D29" s="108" t="s">
        <v>403</v>
      </c>
      <c r="E29" s="12" t="s">
        <v>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9"/>
      <c r="Z29" s="9"/>
    </row>
    <row r="30" spans="1:32" ht="15.75" customHeight="1">
      <c r="A30" s="134">
        <v>10</v>
      </c>
      <c r="B30" s="107" t="s">
        <v>875</v>
      </c>
      <c r="C30" s="107">
        <v>252619221010</v>
      </c>
      <c r="D30" s="108" t="s">
        <v>404</v>
      </c>
      <c r="E30" s="12" t="s">
        <v>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9"/>
      <c r="Z30" s="9"/>
    </row>
    <row r="31" spans="1:32" ht="15.75" customHeight="1">
      <c r="A31" s="134">
        <v>11</v>
      </c>
      <c r="B31" s="107" t="s">
        <v>876</v>
      </c>
      <c r="C31" s="107">
        <v>252619221011</v>
      </c>
      <c r="D31" s="108" t="s">
        <v>405</v>
      </c>
      <c r="E31" s="12" t="s">
        <v>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9"/>
      <c r="Z31" s="9"/>
    </row>
    <row r="32" spans="1:32" ht="15.75" customHeight="1">
      <c r="A32" s="134">
        <v>12</v>
      </c>
      <c r="B32" s="107" t="s">
        <v>877</v>
      </c>
      <c r="C32" s="107">
        <v>252619221012</v>
      </c>
      <c r="D32" s="108" t="s">
        <v>406</v>
      </c>
      <c r="E32" s="12" t="s">
        <v>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9"/>
      <c r="Z32" s="9"/>
    </row>
    <row r="33" spans="1:26" ht="15.75" customHeight="1">
      <c r="A33" s="134">
        <v>13</v>
      </c>
      <c r="B33" s="107" t="s">
        <v>878</v>
      </c>
      <c r="C33" s="107">
        <v>252619221013</v>
      </c>
      <c r="D33" s="108" t="s">
        <v>407</v>
      </c>
      <c r="E33" s="12" t="s">
        <v>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9"/>
      <c r="Z33" s="9"/>
    </row>
    <row r="34" spans="1:26" ht="15.75" customHeight="1">
      <c r="A34" s="134">
        <v>14</v>
      </c>
      <c r="B34" s="107" t="s">
        <v>879</v>
      </c>
      <c r="C34" s="107">
        <v>252619221014</v>
      </c>
      <c r="D34" s="108" t="s">
        <v>408</v>
      </c>
      <c r="E34" s="12" t="s">
        <v>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9"/>
      <c r="Z34" s="9"/>
    </row>
    <row r="35" spans="1:26" ht="15.75" customHeight="1">
      <c r="A35" s="134">
        <v>15</v>
      </c>
      <c r="B35" s="107" t="s">
        <v>880</v>
      </c>
      <c r="C35" s="107">
        <v>252619221015</v>
      </c>
      <c r="D35" s="108" t="s">
        <v>409</v>
      </c>
      <c r="E35" s="12" t="s">
        <v>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9"/>
      <c r="Z35" s="9"/>
    </row>
    <row r="36" spans="1:26" ht="15.75" customHeight="1">
      <c r="A36" s="134">
        <v>16</v>
      </c>
      <c r="B36" s="107" t="s">
        <v>881</v>
      </c>
      <c r="C36" s="107">
        <v>252619221016</v>
      </c>
      <c r="D36" s="108" t="s">
        <v>410</v>
      </c>
      <c r="E36" s="12" t="s">
        <v>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9"/>
      <c r="Z36" s="9"/>
    </row>
    <row r="37" spans="1:26" ht="15.75" customHeight="1">
      <c r="A37" s="134">
        <v>17</v>
      </c>
      <c r="B37" s="107" t="s">
        <v>882</v>
      </c>
      <c r="C37" s="107">
        <v>252619221017</v>
      </c>
      <c r="D37" s="108" t="s">
        <v>411</v>
      </c>
      <c r="E37" s="12" t="s">
        <v>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9"/>
      <c r="Z37" s="9"/>
    </row>
    <row r="38" spans="1:26" ht="15.75" customHeight="1">
      <c r="A38" s="134">
        <v>18</v>
      </c>
      <c r="B38" s="107" t="s">
        <v>883</v>
      </c>
      <c r="C38" s="107">
        <v>252619221018</v>
      </c>
      <c r="D38" s="108" t="s">
        <v>412</v>
      </c>
      <c r="E38" s="12" t="s">
        <v>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9"/>
      <c r="Z38" s="9"/>
    </row>
    <row r="39" spans="1:26" ht="15.75" customHeight="1">
      <c r="A39" s="134">
        <v>19</v>
      </c>
      <c r="B39" s="107" t="s">
        <v>884</v>
      </c>
      <c r="C39" s="107">
        <v>252619221019</v>
      </c>
      <c r="D39" s="108" t="s">
        <v>413</v>
      </c>
      <c r="E39" s="12" t="s">
        <v>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9"/>
      <c r="Z39" s="9"/>
    </row>
    <row r="40" spans="1:26" ht="15.75" customHeight="1">
      <c r="A40" s="134">
        <v>20</v>
      </c>
      <c r="B40" s="107" t="s">
        <v>885</v>
      </c>
      <c r="C40" s="107">
        <v>252619221115</v>
      </c>
      <c r="D40" s="108" t="s">
        <v>886</v>
      </c>
      <c r="E40" s="12" t="s">
        <v>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9"/>
      <c r="Z40" s="9"/>
    </row>
    <row r="41" spans="1:26" ht="15.75" customHeight="1">
      <c r="A41" s="134">
        <v>21</v>
      </c>
      <c r="B41" s="107" t="s">
        <v>887</v>
      </c>
      <c r="C41" s="107">
        <v>252619221020</v>
      </c>
      <c r="D41" s="108" t="s">
        <v>414</v>
      </c>
      <c r="E41" s="12" t="s">
        <v>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9"/>
      <c r="Z41" s="9"/>
    </row>
    <row r="42" spans="1:26" ht="15.75" customHeight="1">
      <c r="A42" s="134">
        <v>22</v>
      </c>
      <c r="B42" s="107" t="s">
        <v>888</v>
      </c>
      <c r="C42" s="107">
        <v>252619221021</v>
      </c>
      <c r="D42" s="108" t="s">
        <v>415</v>
      </c>
      <c r="E42" s="12" t="s">
        <v>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9"/>
      <c r="Z42" s="9"/>
    </row>
    <row r="43" spans="1:26" ht="15.75" customHeight="1">
      <c r="A43" s="134">
        <v>23</v>
      </c>
      <c r="B43" s="107" t="s">
        <v>889</v>
      </c>
      <c r="C43" s="107">
        <v>252619221022</v>
      </c>
      <c r="D43" s="108" t="s">
        <v>416</v>
      </c>
      <c r="E43" s="12" t="s">
        <v>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9"/>
      <c r="Z43" s="9"/>
    </row>
    <row r="44" spans="1:26" ht="15.75" customHeight="1">
      <c r="A44" s="134">
        <v>24</v>
      </c>
      <c r="B44" s="107" t="s">
        <v>890</v>
      </c>
      <c r="C44" s="107">
        <v>252619221023</v>
      </c>
      <c r="D44" s="108" t="s">
        <v>417</v>
      </c>
      <c r="E44" s="12" t="s">
        <v>9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9"/>
      <c r="Z44" s="9"/>
    </row>
    <row r="45" spans="1:26" ht="15.75" customHeight="1">
      <c r="A45" s="134">
        <v>25</v>
      </c>
      <c r="B45" s="107" t="s">
        <v>891</v>
      </c>
      <c r="C45" s="107">
        <v>252619221024</v>
      </c>
      <c r="D45" s="108" t="s">
        <v>418</v>
      </c>
      <c r="E45" s="12" t="s">
        <v>9</v>
      </c>
      <c r="F45" s="118"/>
      <c r="G45" s="118"/>
      <c r="H45" s="9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9"/>
      <c r="Z45" s="9"/>
    </row>
    <row r="46" spans="1:26" ht="15.75" customHeight="1">
      <c r="A46" s="134">
        <v>26</v>
      </c>
      <c r="B46" s="107" t="s">
        <v>892</v>
      </c>
      <c r="C46" s="107">
        <v>252619221025</v>
      </c>
      <c r="D46" s="108" t="s">
        <v>419</v>
      </c>
      <c r="E46" s="12" t="s">
        <v>9</v>
      </c>
      <c r="F46" s="118"/>
      <c r="G46" s="118"/>
      <c r="H46" s="9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9"/>
      <c r="Z46" s="9"/>
    </row>
    <row r="47" spans="1:26" ht="15.75" customHeight="1">
      <c r="A47" s="134">
        <v>27</v>
      </c>
      <c r="B47" s="107" t="s">
        <v>893</v>
      </c>
      <c r="C47" s="107">
        <v>252619221026</v>
      </c>
      <c r="D47" s="108" t="s">
        <v>420</v>
      </c>
      <c r="E47" s="12" t="s">
        <v>9</v>
      </c>
      <c r="F47" s="118"/>
      <c r="G47" s="118"/>
      <c r="H47" s="9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9"/>
      <c r="Z47" s="9"/>
    </row>
    <row r="48" spans="1:26" ht="15.75" customHeight="1">
      <c r="A48" s="134">
        <v>28</v>
      </c>
      <c r="B48" s="107" t="s">
        <v>894</v>
      </c>
      <c r="C48" s="107">
        <v>252619221027</v>
      </c>
      <c r="D48" s="108" t="s">
        <v>421</v>
      </c>
      <c r="E48" s="12" t="s">
        <v>9</v>
      </c>
      <c r="F48" s="118"/>
      <c r="G48" s="118"/>
      <c r="H48" s="9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9"/>
      <c r="Z48" s="9"/>
    </row>
    <row r="49" spans="1:29" ht="15.75" customHeight="1">
      <c r="A49" s="134">
        <v>29</v>
      </c>
      <c r="B49" s="107" t="s">
        <v>895</v>
      </c>
      <c r="C49" s="107">
        <v>252619221028</v>
      </c>
      <c r="D49" s="108" t="s">
        <v>422</v>
      </c>
      <c r="E49" s="12" t="s">
        <v>9</v>
      </c>
      <c r="F49" s="118"/>
      <c r="G49" s="118"/>
      <c r="H49" s="9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9"/>
      <c r="Z49" s="9"/>
      <c r="AB49" s="51"/>
      <c r="AC49" s="52"/>
    </row>
    <row r="50" spans="1:29" ht="15.75" customHeight="1">
      <c r="A50" s="134">
        <v>30</v>
      </c>
      <c r="B50" s="107" t="s">
        <v>896</v>
      </c>
      <c r="C50" s="107">
        <v>252619221029</v>
      </c>
      <c r="D50" s="108" t="s">
        <v>423</v>
      </c>
      <c r="E50" s="12" t="s">
        <v>9</v>
      </c>
      <c r="F50" s="118"/>
      <c r="G50" s="118"/>
      <c r="H50" s="9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9"/>
      <c r="Z50" s="9"/>
    </row>
    <row r="51" spans="1:29" ht="15.75" customHeight="1">
      <c r="A51" s="134">
        <v>31</v>
      </c>
      <c r="B51" s="107" t="s">
        <v>897</v>
      </c>
      <c r="C51" s="107">
        <v>252619221030</v>
      </c>
      <c r="D51" s="108" t="s">
        <v>424</v>
      </c>
      <c r="E51" s="12" t="s">
        <v>9</v>
      </c>
      <c r="F51" s="118"/>
      <c r="G51" s="118"/>
      <c r="H51" s="9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9" ht="15.75" customHeight="1">
      <c r="A52" s="134">
        <v>32</v>
      </c>
      <c r="B52" s="107" t="s">
        <v>898</v>
      </c>
      <c r="C52" s="107">
        <v>252619221031</v>
      </c>
      <c r="D52" s="108" t="s">
        <v>425</v>
      </c>
      <c r="E52" s="12" t="s">
        <v>9</v>
      </c>
      <c r="F52" s="118"/>
      <c r="G52" s="118"/>
      <c r="H52" s="9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9" ht="15.75" customHeight="1">
      <c r="A53" s="134">
        <v>33</v>
      </c>
      <c r="B53" s="107" t="s">
        <v>899</v>
      </c>
      <c r="C53" s="107">
        <v>252619221032</v>
      </c>
      <c r="D53" s="108" t="s">
        <v>426</v>
      </c>
      <c r="E53" s="12" t="s">
        <v>9</v>
      </c>
      <c r="F53" s="118"/>
      <c r="G53" s="118"/>
      <c r="H53" s="9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9" ht="15.75" customHeight="1">
      <c r="A54" s="134">
        <v>34</v>
      </c>
      <c r="B54" s="107" t="s">
        <v>900</v>
      </c>
      <c r="C54" s="107">
        <v>252619221033</v>
      </c>
      <c r="D54" s="108" t="s">
        <v>427</v>
      </c>
      <c r="E54" s="12" t="s">
        <v>9</v>
      </c>
      <c r="F54" s="118"/>
      <c r="G54" s="118"/>
      <c r="H54" s="9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9" ht="15.75" customHeight="1">
      <c r="A55" s="134">
        <v>35</v>
      </c>
      <c r="B55" s="107" t="s">
        <v>901</v>
      </c>
      <c r="C55" s="107">
        <v>252619221034</v>
      </c>
      <c r="D55" s="108" t="s">
        <v>428</v>
      </c>
      <c r="E55" s="12" t="s">
        <v>9</v>
      </c>
      <c r="F55" s="118"/>
      <c r="G55" s="118"/>
      <c r="H55" s="9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9" ht="15.75" customHeight="1">
      <c r="A56" s="134">
        <v>36</v>
      </c>
      <c r="B56" s="107" t="s">
        <v>902</v>
      </c>
      <c r="C56" s="107">
        <v>252619221035</v>
      </c>
      <c r="D56" s="108" t="s">
        <v>20</v>
      </c>
      <c r="E56" s="12" t="s">
        <v>9</v>
      </c>
      <c r="F56" s="118"/>
      <c r="G56" s="118"/>
      <c r="H56" s="9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9" ht="15.75" customHeight="1">
      <c r="A57" s="134">
        <v>37</v>
      </c>
      <c r="B57" s="107" t="s">
        <v>903</v>
      </c>
      <c r="C57" s="107">
        <v>252619221036</v>
      </c>
      <c r="D57" s="108" t="s">
        <v>429</v>
      </c>
      <c r="E57" s="12" t="s">
        <v>9</v>
      </c>
      <c r="F57" s="118"/>
      <c r="G57" s="118"/>
      <c r="H57" s="9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9" ht="15.75" customHeight="1">
      <c r="A58" s="134">
        <v>38</v>
      </c>
      <c r="B58" s="107" t="s">
        <v>904</v>
      </c>
      <c r="C58" s="107">
        <v>252619221038</v>
      </c>
      <c r="D58" s="108" t="s">
        <v>430</v>
      </c>
      <c r="E58" s="12" t="s">
        <v>9</v>
      </c>
      <c r="F58" s="118"/>
      <c r="G58" s="118"/>
      <c r="H58" s="9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9" ht="15.75" customHeight="1">
      <c r="A59" s="135"/>
      <c r="B59" s="136"/>
      <c r="C59" s="136"/>
      <c r="D59" s="137"/>
      <c r="E59" s="10"/>
    </row>
    <row r="60" spans="1:29">
      <c r="A60" s="138"/>
      <c r="B60" s="138"/>
      <c r="C60" s="138"/>
      <c r="G60" s="7"/>
      <c r="H60" s="7"/>
    </row>
    <row r="61" spans="1:29">
      <c r="A61" s="138"/>
      <c r="B61" s="138"/>
      <c r="C61" s="138"/>
      <c r="D61" s="176" t="s">
        <v>10</v>
      </c>
      <c r="E61" s="89">
        <f>COUNTIF(E21:E58,"L")</f>
        <v>38</v>
      </c>
      <c r="G61" s="2"/>
    </row>
    <row r="62" spans="1:29">
      <c r="A62" s="138"/>
      <c r="B62" s="138"/>
      <c r="C62" s="138"/>
      <c r="D62" s="176" t="s">
        <v>11</v>
      </c>
      <c r="E62" s="89">
        <f>COUNTIF(E21:E56,"P")</f>
        <v>0</v>
      </c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1"/>
      <c r="S62" s="2"/>
      <c r="T62" s="2"/>
      <c r="U62" s="2"/>
      <c r="V62" s="2"/>
      <c r="W62" s="2"/>
      <c r="X62" s="3"/>
      <c r="Y62" s="2"/>
    </row>
    <row r="63" spans="1:29">
      <c r="D63" s="173" t="s">
        <v>864</v>
      </c>
      <c r="E63" s="87">
        <f>SUM(E61:E62)</f>
        <v>38</v>
      </c>
      <c r="V63" s="2"/>
      <c r="W63" s="2"/>
      <c r="X63" s="3"/>
      <c r="Y63" s="2"/>
    </row>
    <row r="64" spans="1:29">
      <c r="V64" s="2"/>
      <c r="W64" s="2"/>
      <c r="X64" s="3"/>
      <c r="Y64" s="2"/>
    </row>
    <row r="65" spans="1:25">
      <c r="A65" s="139" t="s">
        <v>12</v>
      </c>
      <c r="B65" s="139"/>
      <c r="C65" s="139"/>
      <c r="E65" s="1"/>
      <c r="F65" s="2"/>
      <c r="G65" s="2"/>
      <c r="H65" s="2"/>
      <c r="I65" s="3"/>
      <c r="J65" s="3"/>
      <c r="K65" s="3"/>
      <c r="L65" s="3"/>
      <c r="M65" s="3"/>
      <c r="N65" s="3"/>
      <c r="O65" s="3"/>
      <c r="P65" s="1" t="s">
        <v>1605</v>
      </c>
      <c r="Q65" s="2"/>
      <c r="T65" s="2"/>
      <c r="U65" s="2"/>
      <c r="V65" s="2"/>
      <c r="W65" s="2"/>
      <c r="X65" s="3"/>
      <c r="Y65" s="2"/>
    </row>
    <row r="66" spans="1:25">
      <c r="A66" s="139" t="s">
        <v>13</v>
      </c>
      <c r="B66" s="139"/>
      <c r="C66" s="139"/>
      <c r="E66" s="1"/>
      <c r="F66" s="3"/>
      <c r="G66" s="3"/>
      <c r="H66" s="3"/>
      <c r="I66" s="3"/>
      <c r="J66" s="3"/>
      <c r="K66" s="3"/>
      <c r="L66" s="3"/>
      <c r="M66" s="3"/>
      <c r="N66" s="3"/>
      <c r="O66" s="3"/>
      <c r="P66" s="1" t="s">
        <v>14</v>
      </c>
      <c r="Q66" s="3"/>
      <c r="S66" s="2"/>
      <c r="T66" s="2"/>
      <c r="U66" s="2"/>
      <c r="V66" s="2"/>
      <c r="W66" s="2"/>
      <c r="X66" s="2"/>
      <c r="Y66" s="2"/>
    </row>
    <row r="67" spans="1:25" ht="15.75">
      <c r="A67" s="139"/>
      <c r="B67" s="139"/>
      <c r="C67" s="139"/>
      <c r="D67" s="139"/>
      <c r="E67" s="1"/>
      <c r="F67" s="3"/>
      <c r="G67" s="3"/>
      <c r="H67" s="3"/>
      <c r="I67" s="3"/>
      <c r="J67" s="3"/>
      <c r="K67" s="3"/>
      <c r="L67" s="3"/>
      <c r="M67" s="3"/>
      <c r="N67" s="3"/>
      <c r="O67" s="3"/>
      <c r="P67" s="1"/>
      <c r="Q67" s="3"/>
      <c r="S67" s="2"/>
      <c r="T67" s="2"/>
      <c r="U67" s="2"/>
      <c r="V67" s="9"/>
      <c r="W67" s="9"/>
      <c r="X67" s="9"/>
      <c r="Y67" s="9"/>
    </row>
    <row r="68" spans="1:25" ht="15.75">
      <c r="A68" s="139"/>
      <c r="B68" s="139"/>
      <c r="C68" s="139"/>
      <c r="D68" s="139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S68" s="2"/>
      <c r="T68" s="2"/>
      <c r="U68" s="2"/>
      <c r="V68" s="9"/>
    </row>
    <row r="69" spans="1:25" ht="15.75">
      <c r="A69" s="140" t="s">
        <v>854</v>
      </c>
      <c r="B69" s="140"/>
      <c r="C69" s="140"/>
      <c r="D69" s="140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8" t="s">
        <v>16</v>
      </c>
      <c r="Q69" s="8"/>
      <c r="S69" s="2"/>
      <c r="T69" s="9"/>
      <c r="U69" s="9"/>
      <c r="V69" s="53"/>
      <c r="W69" s="53"/>
      <c r="X69" s="53"/>
      <c r="Y69" s="53"/>
    </row>
    <row r="70" spans="1:25" ht="15.75">
      <c r="A70" s="140" t="s">
        <v>855</v>
      </c>
      <c r="B70" s="140"/>
      <c r="C70" s="140"/>
      <c r="D70" s="140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8" t="s">
        <v>17</v>
      </c>
      <c r="Q70" s="2"/>
      <c r="T70" s="9"/>
      <c r="U70" s="9"/>
      <c r="V70" s="53"/>
      <c r="W70" s="53"/>
      <c r="X70" s="53"/>
      <c r="Y70" s="53"/>
    </row>
    <row r="71" spans="1:25" ht="15.75">
      <c r="A71" s="141"/>
      <c r="B71" s="141"/>
      <c r="C71" s="141"/>
      <c r="D71" s="141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15.75">
      <c r="A72" s="141"/>
      <c r="B72" s="141"/>
      <c r="C72" s="141"/>
      <c r="D72" s="141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15.75">
      <c r="A73" s="141"/>
      <c r="B73" s="141"/>
      <c r="C73" s="141"/>
      <c r="D73" s="141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15.75">
      <c r="A74" s="141"/>
      <c r="B74" s="141"/>
      <c r="C74" s="141"/>
      <c r="D74" s="141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ht="15.75">
      <c r="A75" s="141"/>
      <c r="B75" s="141"/>
      <c r="C75" s="141"/>
      <c r="D75" s="141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15.75">
      <c r="A76" s="141"/>
      <c r="B76" s="141"/>
      <c r="C76" s="141"/>
      <c r="D76" s="141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94" spans="1:25" ht="15.75">
      <c r="A94" s="211" t="s">
        <v>132</v>
      </c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</row>
    <row r="95" spans="1:25" ht="15.75">
      <c r="A95" s="211" t="s">
        <v>0</v>
      </c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8"/>
    </row>
    <row r="96" spans="1:25" ht="15.75">
      <c r="Y96" s="8"/>
    </row>
    <row r="97" spans="1:32">
      <c r="A97" s="194" t="s">
        <v>133</v>
      </c>
      <c r="B97" s="194"/>
      <c r="C97" s="195" t="s">
        <v>389</v>
      </c>
      <c r="D97" s="195" t="s">
        <v>1620</v>
      </c>
      <c r="E97" s="191" t="s">
        <v>1623</v>
      </c>
      <c r="F97" s="189"/>
      <c r="G97" s="189"/>
      <c r="H97" s="189"/>
      <c r="I97" s="189"/>
      <c r="J97" s="189"/>
      <c r="K97" s="189"/>
      <c r="L97" s="189" t="s">
        <v>1624</v>
      </c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54"/>
      <c r="Y97" s="23"/>
    </row>
    <row r="98" spans="1:32">
      <c r="A98" s="221" t="s">
        <v>134</v>
      </c>
      <c r="B98" s="221"/>
      <c r="C98" s="195" t="s">
        <v>135</v>
      </c>
      <c r="D98" s="197" t="s">
        <v>1620</v>
      </c>
      <c r="E98" s="193" t="s">
        <v>1621</v>
      </c>
      <c r="F98" s="190"/>
      <c r="G98" s="190"/>
      <c r="H98" s="190"/>
      <c r="I98" s="190"/>
      <c r="J98" s="190"/>
      <c r="K98" s="190"/>
      <c r="L98" s="190" t="s">
        <v>1622</v>
      </c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82"/>
      <c r="Y98" s="82"/>
    </row>
    <row r="99" spans="1:32">
      <c r="A99" s="198"/>
      <c r="B99" s="198"/>
      <c r="C99" s="197" t="s">
        <v>1619</v>
      </c>
      <c r="D99" s="199"/>
      <c r="E99" s="193" t="s">
        <v>1625</v>
      </c>
      <c r="F99" s="190"/>
      <c r="G99" s="190"/>
      <c r="H99" s="190"/>
      <c r="I99" s="190"/>
      <c r="J99" s="190"/>
      <c r="K99" s="190"/>
      <c r="L99" s="190" t="s">
        <v>1626</v>
      </c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82"/>
      <c r="Y99" s="82"/>
    </row>
    <row r="100" spans="1:32">
      <c r="A100" s="221" t="s">
        <v>136</v>
      </c>
      <c r="B100" s="221"/>
      <c r="C100" s="195" t="s">
        <v>21</v>
      </c>
      <c r="D100" s="198"/>
      <c r="E100" s="191" t="s">
        <v>1627</v>
      </c>
      <c r="F100" s="189"/>
      <c r="G100" s="190"/>
      <c r="H100" s="189"/>
      <c r="I100" s="189"/>
      <c r="J100" s="189"/>
      <c r="K100" s="189" t="s">
        <v>1617</v>
      </c>
      <c r="L100" s="189" t="s">
        <v>1618</v>
      </c>
      <c r="M100" s="189"/>
      <c r="N100" s="189"/>
      <c r="O100" s="189"/>
      <c r="P100" s="189"/>
      <c r="Q100" s="189"/>
      <c r="R100" s="189"/>
      <c r="S100" s="190"/>
      <c r="T100" s="190"/>
      <c r="U100" s="189"/>
      <c r="V100" s="189"/>
      <c r="W100" s="189"/>
      <c r="X100" s="54"/>
      <c r="Y100" s="54"/>
    </row>
    <row r="101" spans="1:32" ht="15.75">
      <c r="A101" s="127"/>
      <c r="B101" s="127"/>
      <c r="C101" s="128"/>
      <c r="E101" s="23"/>
      <c r="F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U101" s="54"/>
      <c r="V101" s="54"/>
      <c r="W101" s="54"/>
      <c r="X101" s="54"/>
      <c r="Y101" s="54"/>
    </row>
    <row r="102" spans="1:32">
      <c r="A102" s="132"/>
      <c r="B102" s="132"/>
      <c r="C102" s="132"/>
      <c r="D102" s="205" t="s">
        <v>1600</v>
      </c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</row>
    <row r="103" spans="1:32" ht="15.75" thickBot="1">
      <c r="A103" s="217" t="s">
        <v>1</v>
      </c>
      <c r="B103" s="217" t="s">
        <v>18</v>
      </c>
      <c r="C103" s="217" t="s">
        <v>2</v>
      </c>
      <c r="D103" s="217" t="s">
        <v>137</v>
      </c>
      <c r="E103" s="213" t="s">
        <v>3</v>
      </c>
      <c r="F103" s="208" t="s">
        <v>4</v>
      </c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10"/>
      <c r="V103" s="208" t="s">
        <v>5</v>
      </c>
      <c r="W103" s="209"/>
      <c r="X103" s="210"/>
    </row>
    <row r="104" spans="1:32" ht="15.75">
      <c r="A104" s="218"/>
      <c r="B104" s="218"/>
      <c r="C104" s="218"/>
      <c r="D104" s="218"/>
      <c r="E104" s="214"/>
      <c r="F104" s="25">
        <v>1</v>
      </c>
      <c r="G104" s="25">
        <v>2</v>
      </c>
      <c r="H104" s="25">
        <v>3</v>
      </c>
      <c r="I104" s="25">
        <v>4</v>
      </c>
      <c r="J104" s="25">
        <v>5</v>
      </c>
      <c r="K104" s="25">
        <v>6</v>
      </c>
      <c r="L104" s="25">
        <v>7</v>
      </c>
      <c r="M104" s="25">
        <v>8</v>
      </c>
      <c r="N104" s="25">
        <v>9</v>
      </c>
      <c r="O104" s="25">
        <v>10</v>
      </c>
      <c r="P104" s="25">
        <v>11</v>
      </c>
      <c r="Q104" s="25">
        <v>12</v>
      </c>
      <c r="R104" s="25">
        <v>13</v>
      </c>
      <c r="S104" s="25">
        <v>14</v>
      </c>
      <c r="T104" s="25">
        <v>15</v>
      </c>
      <c r="U104" s="25">
        <v>16</v>
      </c>
      <c r="V104" s="25" t="s">
        <v>6</v>
      </c>
      <c r="W104" s="25" t="s">
        <v>7</v>
      </c>
      <c r="X104" s="25" t="s">
        <v>8</v>
      </c>
      <c r="Y104" s="9"/>
      <c r="AA104" s="26" t="s">
        <v>393</v>
      </c>
      <c r="AB104" s="27"/>
      <c r="AC104" s="27"/>
      <c r="AD104" s="28"/>
      <c r="AE104" s="28"/>
      <c r="AF104" s="29"/>
    </row>
    <row r="105" spans="1:32" ht="15.75">
      <c r="A105" s="219"/>
      <c r="B105" s="219"/>
      <c r="C105" s="219"/>
      <c r="D105" s="219"/>
      <c r="E105" s="49" t="s">
        <v>394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9"/>
      <c r="AA105" s="31"/>
      <c r="AB105" s="32"/>
      <c r="AC105" s="32"/>
      <c r="AD105" s="33"/>
      <c r="AE105" s="33"/>
      <c r="AF105" s="34"/>
    </row>
    <row r="106" spans="1:32" ht="15.75">
      <c r="A106" s="142">
        <v>1</v>
      </c>
      <c r="B106" s="107" t="s">
        <v>905</v>
      </c>
      <c r="C106" s="107">
        <v>252619221039</v>
      </c>
      <c r="D106" s="108" t="s">
        <v>431</v>
      </c>
      <c r="E106" s="12" t="s">
        <v>9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9"/>
      <c r="AA106" s="31" t="s">
        <v>342</v>
      </c>
      <c r="AB106" s="32"/>
      <c r="AC106" s="32"/>
      <c r="AD106" s="33"/>
      <c r="AE106" s="33"/>
      <c r="AF106" s="34"/>
    </row>
    <row r="107" spans="1:32" ht="15.75">
      <c r="A107" s="142">
        <v>2</v>
      </c>
      <c r="B107" s="107" t="s">
        <v>906</v>
      </c>
      <c r="C107" s="107">
        <v>252619221040</v>
      </c>
      <c r="D107" s="108" t="s">
        <v>432</v>
      </c>
      <c r="E107" s="12" t="s">
        <v>9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9"/>
      <c r="AA107" s="31" t="s">
        <v>433</v>
      </c>
      <c r="AB107" s="32"/>
      <c r="AC107" s="32"/>
      <c r="AD107" s="33"/>
      <c r="AE107" s="33"/>
      <c r="AF107" s="34"/>
    </row>
    <row r="108" spans="1:32" ht="16.5" thickBot="1">
      <c r="A108" s="142">
        <v>3</v>
      </c>
      <c r="B108" s="107" t="s">
        <v>907</v>
      </c>
      <c r="C108" s="107">
        <v>252619221041</v>
      </c>
      <c r="D108" s="108" t="s">
        <v>434</v>
      </c>
      <c r="E108" s="12" t="s">
        <v>9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9"/>
      <c r="AA108" s="35" t="s">
        <v>140</v>
      </c>
      <c r="AB108" s="36"/>
      <c r="AC108" s="36"/>
      <c r="AD108" s="37"/>
      <c r="AE108" s="37"/>
      <c r="AF108" s="38"/>
    </row>
    <row r="109" spans="1:32" ht="15.75">
      <c r="A109" s="142">
        <v>4</v>
      </c>
      <c r="B109" s="107" t="s">
        <v>908</v>
      </c>
      <c r="C109" s="107">
        <v>252619221042</v>
      </c>
      <c r="D109" s="108" t="s">
        <v>435</v>
      </c>
      <c r="E109" s="12" t="s">
        <v>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9"/>
    </row>
    <row r="110" spans="1:32" ht="15.75">
      <c r="A110" s="142">
        <v>5</v>
      </c>
      <c r="B110" s="107" t="s">
        <v>909</v>
      </c>
      <c r="C110" s="107">
        <v>252619221044</v>
      </c>
      <c r="D110" s="108" t="s">
        <v>436</v>
      </c>
      <c r="E110" s="12" t="s">
        <v>9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9"/>
    </row>
    <row r="111" spans="1:32" ht="15.75">
      <c r="A111" s="142">
        <v>6</v>
      </c>
      <c r="B111" s="107" t="s">
        <v>910</v>
      </c>
      <c r="C111" s="107">
        <v>252619221045</v>
      </c>
      <c r="D111" s="108" t="s">
        <v>437</v>
      </c>
      <c r="E111" s="12" t="s">
        <v>9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9"/>
    </row>
    <row r="112" spans="1:32" ht="15.75">
      <c r="A112" s="142">
        <v>7</v>
      </c>
      <c r="B112" s="107" t="s">
        <v>911</v>
      </c>
      <c r="C112" s="107">
        <v>252619221046</v>
      </c>
      <c r="D112" s="108" t="s">
        <v>438</v>
      </c>
      <c r="E112" s="12" t="s">
        <v>9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9"/>
    </row>
    <row r="113" spans="1:25" ht="15.75">
      <c r="A113" s="142">
        <v>8</v>
      </c>
      <c r="B113" s="107" t="s">
        <v>912</v>
      </c>
      <c r="C113" s="107">
        <v>252619221048</v>
      </c>
      <c r="D113" s="108" t="s">
        <v>439</v>
      </c>
      <c r="E113" s="12" t="s">
        <v>9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9"/>
    </row>
    <row r="114" spans="1:25" ht="15.75">
      <c r="A114" s="142">
        <v>9</v>
      </c>
      <c r="B114" s="107" t="s">
        <v>913</v>
      </c>
      <c r="C114" s="107">
        <v>252619221049</v>
      </c>
      <c r="D114" s="108" t="s">
        <v>440</v>
      </c>
      <c r="E114" s="12" t="s">
        <v>9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9"/>
    </row>
    <row r="115" spans="1:25" ht="15.75">
      <c r="A115" s="142">
        <v>10</v>
      </c>
      <c r="B115" s="107" t="s">
        <v>914</v>
      </c>
      <c r="C115" s="107">
        <v>252619221050</v>
      </c>
      <c r="D115" s="108" t="s">
        <v>441</v>
      </c>
      <c r="E115" s="12" t="s">
        <v>9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9"/>
    </row>
    <row r="116" spans="1:25" ht="15.75">
      <c r="A116" s="142">
        <v>11</v>
      </c>
      <c r="B116" s="107" t="s">
        <v>915</v>
      </c>
      <c r="C116" s="107">
        <v>252619221051</v>
      </c>
      <c r="D116" s="108" t="s">
        <v>442</v>
      </c>
      <c r="E116" s="12" t="s">
        <v>9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9"/>
    </row>
    <row r="117" spans="1:25" ht="15.75">
      <c r="A117" s="142">
        <v>12</v>
      </c>
      <c r="B117" s="107" t="s">
        <v>916</v>
      </c>
      <c r="C117" s="107">
        <v>252619221052</v>
      </c>
      <c r="D117" s="108" t="s">
        <v>443</v>
      </c>
      <c r="E117" s="12" t="s">
        <v>9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9"/>
    </row>
    <row r="118" spans="1:25" ht="15.75">
      <c r="A118" s="142">
        <v>13</v>
      </c>
      <c r="B118" s="107" t="s">
        <v>917</v>
      </c>
      <c r="C118" s="107">
        <v>252619221053</v>
      </c>
      <c r="D118" s="108" t="s">
        <v>444</v>
      </c>
      <c r="E118" s="12" t="s">
        <v>9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9"/>
    </row>
    <row r="119" spans="1:25" ht="15.75">
      <c r="A119" s="142">
        <v>14</v>
      </c>
      <c r="B119" s="107" t="s">
        <v>918</v>
      </c>
      <c r="C119" s="107">
        <v>252619221054</v>
      </c>
      <c r="D119" s="108" t="s">
        <v>445</v>
      </c>
      <c r="E119" s="12" t="s">
        <v>9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9"/>
    </row>
    <row r="120" spans="1:25" ht="15.75">
      <c r="A120" s="142">
        <v>15</v>
      </c>
      <c r="B120" s="107" t="s">
        <v>919</v>
      </c>
      <c r="C120" s="107">
        <v>252619221055</v>
      </c>
      <c r="D120" s="108" t="s">
        <v>446</v>
      </c>
      <c r="E120" s="12" t="s">
        <v>9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9"/>
    </row>
    <row r="121" spans="1:25" ht="15.75">
      <c r="A121" s="142">
        <v>16</v>
      </c>
      <c r="B121" s="107" t="s">
        <v>920</v>
      </c>
      <c r="C121" s="107">
        <v>252619221056</v>
      </c>
      <c r="D121" s="108" t="s">
        <v>447</v>
      </c>
      <c r="E121" s="12" t="s">
        <v>9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9"/>
    </row>
    <row r="122" spans="1:25" ht="15.75">
      <c r="A122" s="142">
        <v>17</v>
      </c>
      <c r="B122" s="107" t="s">
        <v>921</v>
      </c>
      <c r="C122" s="107">
        <v>252619221057</v>
      </c>
      <c r="D122" s="108" t="s">
        <v>448</v>
      </c>
      <c r="E122" s="12" t="s">
        <v>9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9"/>
    </row>
    <row r="123" spans="1:25" ht="15.75">
      <c r="A123" s="142">
        <v>18</v>
      </c>
      <c r="B123" s="107" t="s">
        <v>922</v>
      </c>
      <c r="C123" s="107">
        <v>252619221058</v>
      </c>
      <c r="D123" s="108" t="s">
        <v>449</v>
      </c>
      <c r="E123" s="12" t="s">
        <v>9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9"/>
    </row>
    <row r="124" spans="1:25" ht="15.75">
      <c r="A124" s="142">
        <v>19</v>
      </c>
      <c r="B124" s="107" t="s">
        <v>923</v>
      </c>
      <c r="C124" s="107">
        <v>252619221059</v>
      </c>
      <c r="D124" s="108" t="s">
        <v>450</v>
      </c>
      <c r="E124" s="12" t="s">
        <v>9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9"/>
    </row>
    <row r="125" spans="1:25" ht="15.75">
      <c r="A125" s="142">
        <v>20</v>
      </c>
      <c r="B125" s="107" t="s">
        <v>924</v>
      </c>
      <c r="C125" s="107">
        <v>252619221060</v>
      </c>
      <c r="D125" s="108" t="s">
        <v>451</v>
      </c>
      <c r="E125" s="12" t="s">
        <v>9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9"/>
    </row>
    <row r="126" spans="1:25" ht="15.75">
      <c r="A126" s="142">
        <v>21</v>
      </c>
      <c r="B126" s="107" t="s">
        <v>925</v>
      </c>
      <c r="C126" s="107">
        <v>252619221061</v>
      </c>
      <c r="D126" s="108" t="s">
        <v>452</v>
      </c>
      <c r="E126" s="12" t="s">
        <v>9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9"/>
    </row>
    <row r="127" spans="1:25" ht="15.75">
      <c r="A127" s="142">
        <v>22</v>
      </c>
      <c r="B127" s="107" t="s">
        <v>926</v>
      </c>
      <c r="C127" s="107">
        <v>252619221062</v>
      </c>
      <c r="D127" s="108" t="s">
        <v>453</v>
      </c>
      <c r="E127" s="12" t="s">
        <v>9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9"/>
    </row>
    <row r="128" spans="1:25" ht="15.75">
      <c r="A128" s="142">
        <v>23</v>
      </c>
      <c r="B128" s="107" t="s">
        <v>927</v>
      </c>
      <c r="C128" s="107">
        <v>252619221064</v>
      </c>
      <c r="D128" s="108" t="s">
        <v>454</v>
      </c>
      <c r="E128" s="12" t="s">
        <v>9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9"/>
    </row>
    <row r="129" spans="1:25" ht="15.75">
      <c r="A129" s="142">
        <v>24</v>
      </c>
      <c r="B129" s="107" t="s">
        <v>928</v>
      </c>
      <c r="C129" s="107">
        <v>252619221065</v>
      </c>
      <c r="D129" s="108" t="s">
        <v>455</v>
      </c>
      <c r="E129" s="12" t="s">
        <v>9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9"/>
    </row>
    <row r="130" spans="1:25" s="112" customFormat="1" ht="15.75">
      <c r="A130" s="142">
        <v>25</v>
      </c>
      <c r="B130" s="107" t="s">
        <v>929</v>
      </c>
      <c r="C130" s="107">
        <v>252619221066</v>
      </c>
      <c r="D130" s="108" t="s">
        <v>456</v>
      </c>
      <c r="E130" s="177" t="s">
        <v>9</v>
      </c>
      <c r="F130" s="119"/>
      <c r="G130" s="119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1"/>
    </row>
    <row r="131" spans="1:25" s="112" customFormat="1" ht="15.75">
      <c r="A131" s="142">
        <v>26</v>
      </c>
      <c r="B131" s="107" t="s">
        <v>930</v>
      </c>
      <c r="C131" s="107">
        <v>252619221067</v>
      </c>
      <c r="D131" s="108" t="s">
        <v>457</v>
      </c>
      <c r="E131" s="177" t="s">
        <v>9</v>
      </c>
      <c r="F131" s="119"/>
      <c r="G131" s="119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1"/>
    </row>
    <row r="132" spans="1:25" s="112" customFormat="1" ht="15.75">
      <c r="A132" s="142">
        <v>27</v>
      </c>
      <c r="B132" s="107" t="s">
        <v>931</v>
      </c>
      <c r="C132" s="107">
        <v>252619221070</v>
      </c>
      <c r="D132" s="108" t="s">
        <v>458</v>
      </c>
      <c r="E132" s="177" t="s">
        <v>9</v>
      </c>
      <c r="F132" s="119"/>
      <c r="G132" s="119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1"/>
    </row>
    <row r="133" spans="1:25" s="112" customFormat="1">
      <c r="A133" s="142">
        <v>28</v>
      </c>
      <c r="B133" s="107" t="s">
        <v>932</v>
      </c>
      <c r="C133" s="107">
        <v>252619221071</v>
      </c>
      <c r="D133" s="108" t="s">
        <v>459</v>
      </c>
      <c r="E133" s="177" t="s">
        <v>9</v>
      </c>
      <c r="F133" s="119"/>
      <c r="G133" s="11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5" s="112" customFormat="1">
      <c r="A134" s="142">
        <v>29</v>
      </c>
      <c r="B134" s="107" t="s">
        <v>933</v>
      </c>
      <c r="C134" s="107">
        <v>252619221072</v>
      </c>
      <c r="D134" s="108" t="s">
        <v>460</v>
      </c>
      <c r="E134" s="177" t="s">
        <v>9</v>
      </c>
      <c r="F134" s="119"/>
      <c r="G134" s="11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5" s="112" customFormat="1">
      <c r="A135" s="142">
        <v>30</v>
      </c>
      <c r="B135" s="107" t="s">
        <v>934</v>
      </c>
      <c r="C135" s="107">
        <v>252619221073</v>
      </c>
      <c r="D135" s="108" t="s">
        <v>461</v>
      </c>
      <c r="E135" s="177" t="s">
        <v>9</v>
      </c>
      <c r="F135" s="119"/>
      <c r="G135" s="11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5" s="112" customFormat="1">
      <c r="A136" s="142">
        <v>31</v>
      </c>
      <c r="B136" s="107" t="s">
        <v>935</v>
      </c>
      <c r="C136" s="107">
        <v>252619221074</v>
      </c>
      <c r="D136" s="108" t="s">
        <v>462</v>
      </c>
      <c r="E136" s="177" t="s">
        <v>9</v>
      </c>
      <c r="F136" s="119"/>
      <c r="G136" s="11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5" s="112" customFormat="1">
      <c r="A137" s="142">
        <v>32</v>
      </c>
      <c r="B137" s="107" t="s">
        <v>936</v>
      </c>
      <c r="C137" s="107">
        <v>252619221075</v>
      </c>
      <c r="D137" s="108" t="s">
        <v>463</v>
      </c>
      <c r="E137" s="178" t="s">
        <v>9</v>
      </c>
      <c r="F137" s="119"/>
      <c r="G137" s="119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</row>
    <row r="138" spans="1:25" s="112" customFormat="1">
      <c r="A138" s="142">
        <v>33</v>
      </c>
      <c r="B138" s="107" t="s">
        <v>937</v>
      </c>
      <c r="C138" s="107">
        <v>252619221076</v>
      </c>
      <c r="D138" s="108" t="s">
        <v>464</v>
      </c>
      <c r="E138" s="178" t="s">
        <v>9</v>
      </c>
      <c r="F138" s="119"/>
      <c r="G138" s="119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</row>
    <row r="139" spans="1:25" s="112" customFormat="1">
      <c r="A139" s="142">
        <v>34</v>
      </c>
      <c r="B139" s="143"/>
      <c r="C139" s="144" t="s">
        <v>1607</v>
      </c>
      <c r="D139" s="143" t="s">
        <v>1606</v>
      </c>
      <c r="E139" s="179" t="s">
        <v>9</v>
      </c>
      <c r="F139" s="119"/>
      <c r="G139" s="119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</row>
    <row r="141" spans="1:25">
      <c r="A141" s="138"/>
      <c r="B141" s="138"/>
      <c r="C141" s="138"/>
      <c r="G141" s="7"/>
      <c r="H141" s="7"/>
    </row>
    <row r="142" spans="1:25">
      <c r="A142" s="138"/>
      <c r="B142" s="138"/>
      <c r="C142" s="138"/>
      <c r="D142" s="176" t="s">
        <v>10</v>
      </c>
      <c r="E142" s="89">
        <f>COUNTIF(E106:E139,"L")</f>
        <v>34</v>
      </c>
      <c r="G142" s="2"/>
    </row>
    <row r="143" spans="1:25">
      <c r="A143" s="138"/>
      <c r="B143" s="138"/>
      <c r="C143" s="138"/>
      <c r="D143" s="176" t="s">
        <v>11</v>
      </c>
      <c r="E143" s="89">
        <f>COUNTIF(E106:E138,"P")</f>
        <v>0</v>
      </c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1"/>
      <c r="S143" s="2"/>
      <c r="T143" s="2"/>
      <c r="U143" s="2"/>
      <c r="V143" s="2"/>
      <c r="W143" s="2"/>
      <c r="X143" s="3"/>
      <c r="Y143" s="2"/>
    </row>
    <row r="144" spans="1:25">
      <c r="D144" s="180" t="s">
        <v>864</v>
      </c>
      <c r="E144" s="181">
        <f>SUM(E142,E143)</f>
        <v>34</v>
      </c>
      <c r="V144" s="2"/>
      <c r="W144" s="2"/>
      <c r="X144" s="3"/>
      <c r="Y144" s="2"/>
    </row>
    <row r="145" spans="1:25">
      <c r="V145" s="2"/>
      <c r="W145" s="2"/>
      <c r="X145" s="3"/>
      <c r="Y145" s="2"/>
    </row>
    <row r="146" spans="1:25">
      <c r="A146" s="139" t="s">
        <v>12</v>
      </c>
      <c r="B146" s="139"/>
      <c r="C146" s="139"/>
      <c r="D146" s="139"/>
      <c r="E146" s="1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1" t="s">
        <v>1605</v>
      </c>
      <c r="Q146" s="2"/>
      <c r="T146" s="2"/>
      <c r="U146" s="2"/>
      <c r="V146" s="2"/>
      <c r="W146" s="2"/>
      <c r="X146" s="3"/>
      <c r="Y146" s="2"/>
    </row>
    <row r="147" spans="1:25">
      <c r="A147" s="139" t="s">
        <v>13</v>
      </c>
      <c r="B147" s="139"/>
      <c r="C147" s="139"/>
      <c r="D147" s="139"/>
      <c r="E147" s="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14</v>
      </c>
      <c r="Q147" s="3"/>
      <c r="S147" s="2"/>
      <c r="T147" s="2"/>
      <c r="U147" s="2"/>
      <c r="V147" s="2"/>
      <c r="W147" s="2"/>
      <c r="X147" s="2"/>
      <c r="Y147" s="2"/>
    </row>
    <row r="148" spans="1:25" ht="15.75">
      <c r="A148" s="139"/>
      <c r="B148" s="139"/>
      <c r="C148" s="139"/>
      <c r="D148" s="139"/>
      <c r="E148" s="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"/>
      <c r="Q148" s="3"/>
      <c r="S148" s="2"/>
      <c r="T148" s="2"/>
      <c r="U148" s="2"/>
      <c r="V148" s="9"/>
      <c r="W148" s="9"/>
      <c r="X148" s="9"/>
      <c r="Y148" s="9"/>
    </row>
    <row r="149" spans="1:25">
      <c r="A149" s="139"/>
      <c r="B149" s="139"/>
      <c r="C149" s="139"/>
      <c r="D149" s="139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S149" s="2"/>
      <c r="T149" s="2"/>
      <c r="U149" s="2"/>
    </row>
    <row r="150" spans="1:25" ht="15.75">
      <c r="A150" s="140" t="s">
        <v>854</v>
      </c>
      <c r="B150" s="140"/>
      <c r="C150" s="140"/>
      <c r="D150" s="140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8" t="s">
        <v>16</v>
      </c>
      <c r="Q150" s="8"/>
      <c r="S150" s="2"/>
      <c r="T150" s="9"/>
      <c r="U150" s="9"/>
    </row>
    <row r="151" spans="1:25" ht="15.75">
      <c r="A151" s="140" t="s">
        <v>855</v>
      </c>
      <c r="B151" s="140"/>
      <c r="C151" s="140"/>
      <c r="D151" s="140"/>
    </row>
    <row r="179" spans="1:32" ht="15.75">
      <c r="A179" s="211" t="s">
        <v>132</v>
      </c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</row>
    <row r="180" spans="1:32" ht="15.75">
      <c r="A180" s="211" t="s">
        <v>0</v>
      </c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</row>
    <row r="182" spans="1:32" ht="15.75">
      <c r="A182" s="194" t="s">
        <v>133</v>
      </c>
      <c r="B182" s="194"/>
      <c r="C182" s="195" t="s">
        <v>390</v>
      </c>
      <c r="D182" s="194"/>
      <c r="E182" s="191" t="s">
        <v>1623</v>
      </c>
      <c r="F182" s="189"/>
      <c r="G182" s="189"/>
      <c r="H182" s="189"/>
      <c r="I182" s="189"/>
      <c r="J182" s="189"/>
      <c r="K182" s="189"/>
      <c r="L182" s="189" t="s">
        <v>1624</v>
      </c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Y182" s="8"/>
    </row>
    <row r="183" spans="1:32" ht="15.75">
      <c r="A183" s="194" t="s">
        <v>134</v>
      </c>
      <c r="B183" s="194"/>
      <c r="C183" s="195" t="s">
        <v>135</v>
      </c>
      <c r="D183" s="197"/>
      <c r="E183" s="193" t="s">
        <v>1621</v>
      </c>
      <c r="F183" s="190"/>
      <c r="G183" s="190"/>
      <c r="H183" s="190"/>
      <c r="I183" s="190"/>
      <c r="J183" s="190"/>
      <c r="K183" s="190"/>
      <c r="L183" s="190" t="s">
        <v>1622</v>
      </c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Y183" s="8"/>
    </row>
    <row r="184" spans="1:32">
      <c r="A184" s="198"/>
      <c r="B184" s="198"/>
      <c r="C184" s="198"/>
      <c r="D184" s="197"/>
      <c r="E184" s="193" t="s">
        <v>1625</v>
      </c>
      <c r="F184" s="190"/>
      <c r="G184" s="190"/>
      <c r="H184" s="190"/>
      <c r="I184" s="190"/>
      <c r="J184" s="190"/>
      <c r="K184" s="190"/>
      <c r="L184" s="190" t="s">
        <v>1626</v>
      </c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23"/>
      <c r="X184" s="23"/>
      <c r="Y184" s="23"/>
    </row>
    <row r="185" spans="1:32">
      <c r="A185" s="221" t="s">
        <v>136</v>
      </c>
      <c r="B185" s="221"/>
      <c r="C185" s="195" t="s">
        <v>21</v>
      </c>
      <c r="D185" s="195"/>
      <c r="E185" s="191" t="s">
        <v>1627</v>
      </c>
      <c r="F185" s="189"/>
      <c r="G185" s="190"/>
      <c r="H185" s="189"/>
      <c r="I185" s="189"/>
      <c r="J185" s="189"/>
      <c r="K185" s="189" t="s">
        <v>1617</v>
      </c>
      <c r="L185" s="189" t="s">
        <v>1618</v>
      </c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82"/>
      <c r="X185" s="82"/>
      <c r="Y185" s="82"/>
    </row>
    <row r="186" spans="1:32"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</row>
    <row r="187" spans="1:32">
      <c r="A187" s="132"/>
      <c r="B187" s="132"/>
      <c r="C187" s="132"/>
      <c r="D187" s="205" t="s">
        <v>1601</v>
      </c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</row>
    <row r="188" spans="1:32">
      <c r="A188" s="217" t="s">
        <v>1</v>
      </c>
      <c r="B188" s="217" t="s">
        <v>18</v>
      </c>
      <c r="C188" s="217" t="s">
        <v>2</v>
      </c>
      <c r="D188" s="217" t="s">
        <v>137</v>
      </c>
      <c r="E188" s="213" t="s">
        <v>3</v>
      </c>
      <c r="F188" s="208" t="s">
        <v>4</v>
      </c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10"/>
      <c r="V188" s="208" t="s">
        <v>5</v>
      </c>
      <c r="W188" s="209"/>
      <c r="X188" s="210"/>
    </row>
    <row r="189" spans="1:32" ht="15.75">
      <c r="A189" s="218"/>
      <c r="B189" s="218"/>
      <c r="C189" s="218"/>
      <c r="D189" s="218"/>
      <c r="E189" s="214"/>
      <c r="F189" s="25">
        <v>1</v>
      </c>
      <c r="G189" s="25">
        <v>2</v>
      </c>
      <c r="H189" s="25">
        <v>3</v>
      </c>
      <c r="I189" s="25">
        <v>4</v>
      </c>
      <c r="J189" s="25">
        <v>5</v>
      </c>
      <c r="K189" s="25">
        <v>6</v>
      </c>
      <c r="L189" s="25">
        <v>7</v>
      </c>
      <c r="M189" s="25">
        <v>8</v>
      </c>
      <c r="N189" s="25">
        <v>9</v>
      </c>
      <c r="O189" s="25">
        <v>10</v>
      </c>
      <c r="P189" s="25">
        <v>11</v>
      </c>
      <c r="Q189" s="25">
        <v>12</v>
      </c>
      <c r="R189" s="25">
        <v>13</v>
      </c>
      <c r="S189" s="25">
        <v>14</v>
      </c>
      <c r="T189" s="25">
        <v>15</v>
      </c>
      <c r="U189" s="25">
        <v>16</v>
      </c>
      <c r="V189" s="25" t="s">
        <v>6</v>
      </c>
      <c r="W189" s="25" t="s">
        <v>7</v>
      </c>
      <c r="X189" s="25" t="s">
        <v>8</v>
      </c>
      <c r="Y189" s="9"/>
    </row>
    <row r="190" spans="1:32" ht="15.75">
      <c r="A190" s="219"/>
      <c r="B190" s="219"/>
      <c r="C190" s="219"/>
      <c r="D190" s="219"/>
      <c r="E190" s="49" t="s">
        <v>394</v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9"/>
    </row>
    <row r="191" spans="1:32" ht="16.5" thickBot="1">
      <c r="A191" s="134">
        <v>1</v>
      </c>
      <c r="B191" s="11" t="s">
        <v>465</v>
      </c>
      <c r="C191" s="146">
        <v>252619221077</v>
      </c>
      <c r="D191" s="11" t="s">
        <v>466</v>
      </c>
      <c r="E191" s="12" t="s">
        <v>9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9"/>
    </row>
    <row r="192" spans="1:32" ht="15.75">
      <c r="A192" s="134">
        <v>2</v>
      </c>
      <c r="B192" s="11" t="s">
        <v>467</v>
      </c>
      <c r="C192" s="146">
        <v>252619221078</v>
      </c>
      <c r="D192" s="11" t="s">
        <v>468</v>
      </c>
      <c r="E192" s="12" t="s">
        <v>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9"/>
      <c r="AA192" s="26" t="s">
        <v>393</v>
      </c>
      <c r="AB192" s="27"/>
      <c r="AC192" s="27"/>
      <c r="AD192" s="28"/>
      <c r="AE192" s="28"/>
      <c r="AF192" s="29"/>
    </row>
    <row r="193" spans="1:32" ht="15.75">
      <c r="A193" s="134">
        <v>3</v>
      </c>
      <c r="B193" s="11" t="s">
        <v>469</v>
      </c>
      <c r="C193" s="146">
        <v>252619221079</v>
      </c>
      <c r="D193" s="11" t="s">
        <v>470</v>
      </c>
      <c r="E193" s="12" t="s">
        <v>9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9"/>
      <c r="AA193" s="31" t="s">
        <v>342</v>
      </c>
      <c r="AB193" s="32"/>
      <c r="AC193" s="32"/>
      <c r="AD193" s="33"/>
      <c r="AE193" s="33"/>
      <c r="AF193" s="34"/>
    </row>
    <row r="194" spans="1:32" ht="16.5" thickBot="1">
      <c r="A194" s="134">
        <v>4</v>
      </c>
      <c r="B194" s="11" t="s">
        <v>471</v>
      </c>
      <c r="C194" s="146">
        <v>252619221081</v>
      </c>
      <c r="D194" s="11" t="s">
        <v>472</v>
      </c>
      <c r="E194" s="12" t="s">
        <v>9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9"/>
      <c r="AA194" s="35" t="s">
        <v>140</v>
      </c>
      <c r="AB194" s="36"/>
      <c r="AC194" s="36"/>
      <c r="AD194" s="37"/>
      <c r="AE194" s="37"/>
      <c r="AF194" s="38"/>
    </row>
    <row r="195" spans="1:32" ht="15.75">
      <c r="A195" s="134">
        <v>5</v>
      </c>
      <c r="B195" s="11" t="s">
        <v>473</v>
      </c>
      <c r="C195" s="146">
        <v>252619221082</v>
      </c>
      <c r="D195" s="11" t="s">
        <v>474</v>
      </c>
      <c r="E195" s="12" t="s">
        <v>9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9"/>
    </row>
    <row r="196" spans="1:32" ht="15.75">
      <c r="A196" s="134">
        <v>6</v>
      </c>
      <c r="B196" s="11" t="s">
        <v>475</v>
      </c>
      <c r="C196" s="146">
        <v>252619221083</v>
      </c>
      <c r="D196" s="11" t="s">
        <v>476</v>
      </c>
      <c r="E196" s="12" t="s">
        <v>9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9"/>
    </row>
    <row r="197" spans="1:32" ht="15.75">
      <c r="A197" s="134">
        <v>7</v>
      </c>
      <c r="B197" s="11" t="s">
        <v>477</v>
      </c>
      <c r="C197" s="146">
        <v>252619221084</v>
      </c>
      <c r="D197" s="11" t="s">
        <v>478</v>
      </c>
      <c r="E197" s="12" t="s">
        <v>9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9"/>
    </row>
    <row r="198" spans="1:32" ht="15.75">
      <c r="A198" s="134">
        <v>8</v>
      </c>
      <c r="B198" s="11" t="s">
        <v>479</v>
      </c>
      <c r="C198" s="146">
        <v>252619221085</v>
      </c>
      <c r="D198" s="11" t="s">
        <v>480</v>
      </c>
      <c r="E198" s="12" t="s">
        <v>9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9"/>
      <c r="AB198" s="56"/>
    </row>
    <row r="199" spans="1:32" ht="15.75">
      <c r="A199" s="134">
        <v>9</v>
      </c>
      <c r="B199" s="11" t="s">
        <v>481</v>
      </c>
      <c r="C199" s="146">
        <v>252619221086</v>
      </c>
      <c r="D199" s="11" t="s">
        <v>482</v>
      </c>
      <c r="E199" s="12" t="s">
        <v>9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9"/>
    </row>
    <row r="200" spans="1:32" ht="15.75">
      <c r="A200" s="134">
        <v>10</v>
      </c>
      <c r="B200" s="11" t="s">
        <v>483</v>
      </c>
      <c r="C200" s="146">
        <v>252619221087</v>
      </c>
      <c r="D200" s="11" t="s">
        <v>484</v>
      </c>
      <c r="E200" s="12" t="s">
        <v>9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9"/>
    </row>
    <row r="201" spans="1:32" ht="15.75">
      <c r="A201" s="134">
        <v>11</v>
      </c>
      <c r="B201" s="11" t="s">
        <v>485</v>
      </c>
      <c r="C201" s="146">
        <v>252619221088</v>
      </c>
      <c r="D201" s="11" t="s">
        <v>486</v>
      </c>
      <c r="E201" s="12" t="s">
        <v>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9"/>
    </row>
    <row r="202" spans="1:32" ht="15.75">
      <c r="A202" s="134">
        <v>12</v>
      </c>
      <c r="B202" s="11" t="s">
        <v>487</v>
      </c>
      <c r="C202" s="146">
        <v>252619221089</v>
      </c>
      <c r="D202" s="11" t="s">
        <v>488</v>
      </c>
      <c r="E202" s="12" t="s">
        <v>9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9"/>
    </row>
    <row r="203" spans="1:32" ht="15.75">
      <c r="A203" s="134">
        <v>13</v>
      </c>
      <c r="B203" s="11" t="s">
        <v>489</v>
      </c>
      <c r="C203" s="146">
        <v>252619221090</v>
      </c>
      <c r="D203" s="11" t="s">
        <v>490</v>
      </c>
      <c r="E203" s="12" t="s">
        <v>9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9"/>
    </row>
    <row r="204" spans="1:32" ht="15.75">
      <c r="A204" s="134">
        <v>14</v>
      </c>
      <c r="B204" s="11" t="s">
        <v>491</v>
      </c>
      <c r="C204" s="146">
        <v>252619221091</v>
      </c>
      <c r="D204" s="11" t="s">
        <v>492</v>
      </c>
      <c r="E204" s="12" t="s">
        <v>9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9"/>
    </row>
    <row r="205" spans="1:32" ht="15.75">
      <c r="A205" s="134">
        <v>15</v>
      </c>
      <c r="B205" s="11" t="s">
        <v>493</v>
      </c>
      <c r="C205" s="146">
        <v>252619221092</v>
      </c>
      <c r="D205" s="11" t="s">
        <v>494</v>
      </c>
      <c r="E205" s="12" t="s">
        <v>9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9"/>
      <c r="AC205" s="57"/>
    </row>
    <row r="206" spans="1:32" ht="15.75">
      <c r="A206" s="134">
        <v>16</v>
      </c>
      <c r="B206" s="11" t="s">
        <v>495</v>
      </c>
      <c r="C206" s="146">
        <v>252619221093</v>
      </c>
      <c r="D206" s="11" t="s">
        <v>496</v>
      </c>
      <c r="E206" s="12" t="s">
        <v>9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9"/>
    </row>
    <row r="207" spans="1:32" ht="15.75">
      <c r="A207" s="134">
        <v>17</v>
      </c>
      <c r="B207" s="11" t="s">
        <v>497</v>
      </c>
      <c r="C207" s="146">
        <v>252619221094</v>
      </c>
      <c r="D207" s="11" t="s">
        <v>498</v>
      </c>
      <c r="E207" s="12" t="s">
        <v>9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9"/>
    </row>
    <row r="208" spans="1:32" ht="15.75">
      <c r="A208" s="134">
        <v>18</v>
      </c>
      <c r="B208" s="11" t="s">
        <v>499</v>
      </c>
      <c r="C208" s="146">
        <v>252619221095</v>
      </c>
      <c r="D208" s="11" t="s">
        <v>500</v>
      </c>
      <c r="E208" s="12" t="s">
        <v>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9"/>
    </row>
    <row r="209" spans="1:28" ht="15.75">
      <c r="A209" s="134">
        <v>19</v>
      </c>
      <c r="B209" s="11" t="s">
        <v>501</v>
      </c>
      <c r="C209" s="146">
        <v>252619221096</v>
      </c>
      <c r="D209" s="11" t="s">
        <v>502</v>
      </c>
      <c r="E209" s="12" t="s">
        <v>9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9"/>
    </row>
    <row r="210" spans="1:28" ht="15.75">
      <c r="A210" s="134">
        <v>20</v>
      </c>
      <c r="B210" s="11" t="s">
        <v>503</v>
      </c>
      <c r="C210" s="146">
        <v>252619221097</v>
      </c>
      <c r="D210" s="11" t="s">
        <v>504</v>
      </c>
      <c r="E210" s="12" t="s">
        <v>9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9"/>
    </row>
    <row r="211" spans="1:28" ht="15.75">
      <c r="A211" s="134">
        <v>21</v>
      </c>
      <c r="B211" s="11" t="s">
        <v>505</v>
      </c>
      <c r="C211" s="146">
        <v>252619221098</v>
      </c>
      <c r="D211" s="11" t="s">
        <v>506</v>
      </c>
      <c r="E211" s="12" t="s">
        <v>9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9"/>
    </row>
    <row r="212" spans="1:28" ht="15.75">
      <c r="A212" s="134">
        <v>22</v>
      </c>
      <c r="B212" s="11" t="s">
        <v>507</v>
      </c>
      <c r="C212" s="146">
        <v>252619221099</v>
      </c>
      <c r="D212" s="11" t="s">
        <v>508</v>
      </c>
      <c r="E212" s="12" t="s">
        <v>9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9"/>
      <c r="AB212" s="42"/>
    </row>
    <row r="213" spans="1:28" ht="15.75">
      <c r="A213" s="134">
        <v>23</v>
      </c>
      <c r="B213" s="11" t="s">
        <v>509</v>
      </c>
      <c r="C213" s="146">
        <v>252619221100</v>
      </c>
      <c r="D213" s="11" t="s">
        <v>510</v>
      </c>
      <c r="E213" s="12" t="s">
        <v>9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9"/>
    </row>
    <row r="214" spans="1:28" ht="15.75">
      <c r="A214" s="134">
        <v>24</v>
      </c>
      <c r="B214" s="11" t="s">
        <v>511</v>
      </c>
      <c r="C214" s="146">
        <v>252619221101</v>
      </c>
      <c r="D214" s="11" t="s">
        <v>512</v>
      </c>
      <c r="E214" s="12" t="s">
        <v>9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9"/>
    </row>
    <row r="215" spans="1:28" ht="15.75">
      <c r="A215" s="134">
        <v>25</v>
      </c>
      <c r="B215" s="11" t="s">
        <v>513</v>
      </c>
      <c r="C215" s="146">
        <v>252619221102</v>
      </c>
      <c r="D215" s="11" t="s">
        <v>514</v>
      </c>
      <c r="E215" s="12" t="s">
        <v>9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9"/>
    </row>
    <row r="216" spans="1:28" ht="15.75">
      <c r="A216" s="134">
        <v>26</v>
      </c>
      <c r="B216" s="11" t="s">
        <v>515</v>
      </c>
      <c r="C216" s="146">
        <v>252619221103</v>
      </c>
      <c r="D216" s="11" t="s">
        <v>516</v>
      </c>
      <c r="E216" s="12" t="s">
        <v>9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9"/>
    </row>
    <row r="217" spans="1:28" ht="15.75">
      <c r="A217" s="134">
        <v>27</v>
      </c>
      <c r="B217" s="11" t="s">
        <v>517</v>
      </c>
      <c r="C217" s="146">
        <v>252619221104</v>
      </c>
      <c r="D217" s="11" t="s">
        <v>518</v>
      </c>
      <c r="E217" s="12" t="s">
        <v>9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9"/>
    </row>
    <row r="218" spans="1:28" ht="15.75">
      <c r="A218" s="134">
        <v>28</v>
      </c>
      <c r="B218" s="147" t="s">
        <v>852</v>
      </c>
      <c r="C218" s="146">
        <v>252619221105</v>
      </c>
      <c r="D218" s="148" t="s">
        <v>519</v>
      </c>
      <c r="E218" s="12" t="s">
        <v>9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9"/>
    </row>
    <row r="219" spans="1:28" ht="15.75">
      <c r="A219" s="134">
        <v>29</v>
      </c>
      <c r="B219" s="11" t="s">
        <v>520</v>
      </c>
      <c r="C219" s="146">
        <v>252619221106</v>
      </c>
      <c r="D219" s="11" t="s">
        <v>521</v>
      </c>
      <c r="E219" s="12" t="s">
        <v>9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9"/>
    </row>
    <row r="220" spans="1:28">
      <c r="A220" s="134">
        <v>30</v>
      </c>
      <c r="B220" s="147" t="s">
        <v>853</v>
      </c>
      <c r="C220" s="146">
        <v>252619221107</v>
      </c>
      <c r="D220" s="148" t="s">
        <v>522</v>
      </c>
      <c r="E220" s="12" t="s">
        <v>9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8">
      <c r="A221" s="134">
        <v>31</v>
      </c>
      <c r="B221" s="11" t="s">
        <v>523</v>
      </c>
      <c r="C221" s="146">
        <v>252619221108</v>
      </c>
      <c r="D221" s="11" t="s">
        <v>524</v>
      </c>
      <c r="E221" s="12" t="s">
        <v>9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8">
      <c r="A222" s="134">
        <v>32</v>
      </c>
      <c r="B222" s="11" t="s">
        <v>525</v>
      </c>
      <c r="C222" s="146">
        <v>252619221109</v>
      </c>
      <c r="D222" s="11" t="s">
        <v>526</v>
      </c>
      <c r="E222" s="12" t="s">
        <v>9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8">
      <c r="A223" s="134">
        <v>33</v>
      </c>
      <c r="B223" s="11" t="s">
        <v>527</v>
      </c>
      <c r="C223" s="146">
        <v>252619221110</v>
      </c>
      <c r="D223" s="11" t="s">
        <v>528</v>
      </c>
      <c r="E223" s="12" t="s">
        <v>9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8">
      <c r="A224" s="134">
        <v>34</v>
      </c>
      <c r="B224" s="11" t="s">
        <v>529</v>
      </c>
      <c r="C224" s="146">
        <v>252619221111</v>
      </c>
      <c r="D224" s="11" t="s">
        <v>530</v>
      </c>
      <c r="E224" s="12" t="s">
        <v>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5">
      <c r="A225" s="134">
        <v>35</v>
      </c>
      <c r="B225" s="11" t="s">
        <v>531</v>
      </c>
      <c r="C225" s="146">
        <v>252619221112</v>
      </c>
      <c r="D225" s="11" t="s">
        <v>532</v>
      </c>
      <c r="E225" s="12" t="s">
        <v>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5">
      <c r="A226" s="134">
        <v>36</v>
      </c>
      <c r="B226" s="11" t="s">
        <v>533</v>
      </c>
      <c r="C226" s="146">
        <v>252619221114</v>
      </c>
      <c r="D226" s="11" t="s">
        <v>534</v>
      </c>
      <c r="E226" s="12" t="s">
        <v>9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5">
      <c r="A227" s="135"/>
      <c r="C227" s="149"/>
      <c r="E227" s="10"/>
    </row>
    <row r="228" spans="1:25">
      <c r="A228" s="150"/>
      <c r="B228" s="151"/>
      <c r="C228" s="150"/>
      <c r="G228" s="7"/>
      <c r="H228" s="7"/>
    </row>
    <row r="229" spans="1:25">
      <c r="A229" s="138"/>
      <c r="B229" s="138"/>
      <c r="C229" s="138"/>
      <c r="D229" s="176" t="s">
        <v>10</v>
      </c>
      <c r="E229" s="89">
        <f>COUNTIF(E191:E226,"L")</f>
        <v>36</v>
      </c>
      <c r="G229" s="2"/>
    </row>
    <row r="230" spans="1:25">
      <c r="A230" s="138"/>
      <c r="B230" s="138"/>
      <c r="C230" s="138"/>
      <c r="D230" s="176" t="s">
        <v>11</v>
      </c>
      <c r="E230" s="89">
        <f>COUNTIF(E191:E225,"P")</f>
        <v>0</v>
      </c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1"/>
      <c r="S230" s="2"/>
      <c r="T230" s="2"/>
      <c r="U230" s="2"/>
      <c r="V230" s="2"/>
      <c r="W230" s="2"/>
      <c r="X230" s="3"/>
    </row>
    <row r="231" spans="1:25">
      <c r="D231" s="182" t="s">
        <v>864</v>
      </c>
      <c r="E231" s="183">
        <f>SUM(E229:E230)</f>
        <v>36</v>
      </c>
      <c r="T231" s="2"/>
      <c r="U231" s="2"/>
      <c r="V231" s="2"/>
      <c r="W231" s="2"/>
      <c r="X231" s="3"/>
      <c r="Y231" s="2"/>
    </row>
    <row r="232" spans="1:25">
      <c r="S232" s="2"/>
      <c r="T232" s="2"/>
      <c r="U232" s="2"/>
      <c r="V232" s="2"/>
      <c r="W232" s="2"/>
      <c r="X232" s="3"/>
      <c r="Y232" s="2"/>
    </row>
    <row r="233" spans="1:25">
      <c r="A233" s="139" t="s">
        <v>12</v>
      </c>
      <c r="B233" s="139"/>
      <c r="C233" s="139"/>
      <c r="D233" s="139"/>
      <c r="E233" s="1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1" t="s">
        <v>1605</v>
      </c>
      <c r="Q233" s="2"/>
      <c r="S233" s="2"/>
      <c r="T233" s="2"/>
      <c r="U233" s="2"/>
      <c r="V233" s="2"/>
      <c r="W233" s="2"/>
      <c r="X233" s="3"/>
      <c r="Y233" s="2"/>
    </row>
    <row r="234" spans="1:25">
      <c r="A234" s="139" t="s">
        <v>13</v>
      </c>
      <c r="B234" s="139"/>
      <c r="C234" s="139"/>
      <c r="D234" s="139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" t="s">
        <v>14</v>
      </c>
      <c r="Q234" s="3"/>
      <c r="S234" s="2"/>
      <c r="T234" s="2"/>
      <c r="U234" s="2"/>
      <c r="V234" s="2"/>
      <c r="W234" s="2"/>
      <c r="X234" s="2"/>
      <c r="Y234" s="2"/>
    </row>
    <row r="235" spans="1:25" ht="15.75">
      <c r="A235" s="139"/>
      <c r="B235" s="139"/>
      <c r="C235" s="139"/>
      <c r="D235" s="139"/>
      <c r="E235" s="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"/>
      <c r="Q235" s="3"/>
      <c r="S235" s="2"/>
      <c r="T235" s="9"/>
      <c r="U235" s="9"/>
      <c r="V235" s="9"/>
      <c r="W235" s="9"/>
      <c r="X235" s="9"/>
      <c r="Y235" s="2"/>
    </row>
    <row r="236" spans="1:25" ht="15.75">
      <c r="A236" s="139"/>
      <c r="B236" s="139"/>
      <c r="C236" s="139"/>
      <c r="D236" s="139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T236" s="9"/>
      <c r="U236" s="9"/>
      <c r="V236" s="9"/>
      <c r="Y236" s="9"/>
    </row>
    <row r="237" spans="1:25" ht="15.75">
      <c r="A237" s="140" t="s">
        <v>854</v>
      </c>
      <c r="B237" s="140"/>
      <c r="C237" s="140"/>
      <c r="D237" s="140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8" t="s">
        <v>16</v>
      </c>
      <c r="Q237" s="8"/>
    </row>
    <row r="238" spans="1:25" ht="15.75">
      <c r="A238" s="140" t="s">
        <v>855</v>
      </c>
      <c r="B238" s="140"/>
      <c r="C238" s="140"/>
      <c r="D238" s="140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8" t="s">
        <v>17</v>
      </c>
      <c r="Q238" s="2"/>
    </row>
    <row r="264" spans="1:26" ht="15.75">
      <c r="A264" s="211" t="s">
        <v>132</v>
      </c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</row>
    <row r="265" spans="1:26" ht="15.75">
      <c r="A265" s="211" t="s">
        <v>0</v>
      </c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8"/>
      <c r="Z265" s="8"/>
    </row>
    <row r="266" spans="1:26" ht="15.75">
      <c r="A266" s="152"/>
      <c r="B266" s="152"/>
      <c r="C266" s="152"/>
      <c r="D266" s="152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8"/>
      <c r="Z266" s="8"/>
    </row>
    <row r="267" spans="1:26" ht="15.75">
      <c r="A267" s="194" t="s">
        <v>133</v>
      </c>
      <c r="B267" s="194"/>
      <c r="C267" s="195" t="s">
        <v>1614</v>
      </c>
      <c r="D267" s="194"/>
      <c r="E267" s="191" t="s">
        <v>1623</v>
      </c>
      <c r="F267" s="189"/>
      <c r="G267" s="189"/>
      <c r="H267" s="189"/>
      <c r="I267" s="189"/>
      <c r="J267" s="189"/>
      <c r="K267" s="189"/>
      <c r="L267" s="189" t="s">
        <v>1628</v>
      </c>
      <c r="M267" s="192"/>
      <c r="N267" s="191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8"/>
      <c r="Z267" s="8"/>
    </row>
    <row r="268" spans="1:26" ht="15.75">
      <c r="A268" s="194" t="s">
        <v>134</v>
      </c>
      <c r="B268" s="194"/>
      <c r="C268" s="195" t="s">
        <v>21</v>
      </c>
      <c r="D268" s="196"/>
      <c r="E268" s="193" t="s">
        <v>1621</v>
      </c>
      <c r="F268" s="190"/>
      <c r="G268" s="190"/>
      <c r="H268" s="190"/>
      <c r="I268" s="190"/>
      <c r="J268" s="190"/>
      <c r="K268" s="190"/>
      <c r="L268" s="190" t="s">
        <v>2625</v>
      </c>
      <c r="M268" s="192"/>
      <c r="N268" s="193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23"/>
      <c r="Z268" s="8"/>
    </row>
    <row r="269" spans="1:26" ht="15.75">
      <c r="A269" s="194" t="s">
        <v>136</v>
      </c>
      <c r="B269" s="194"/>
      <c r="C269" s="195" t="s">
        <v>135</v>
      </c>
      <c r="D269" s="196"/>
      <c r="E269" s="193" t="s">
        <v>1625</v>
      </c>
      <c r="F269" s="190"/>
      <c r="G269" s="190"/>
      <c r="H269" s="190"/>
      <c r="I269" s="190"/>
      <c r="J269" s="190"/>
      <c r="K269" s="190"/>
      <c r="L269" s="190" t="s">
        <v>2625</v>
      </c>
      <c r="M269" s="191"/>
      <c r="N269" s="191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14"/>
      <c r="Z269" s="8"/>
    </row>
    <row r="270" spans="1:26" ht="15.75">
      <c r="A270" s="194"/>
      <c r="B270" s="194"/>
      <c r="C270" s="195"/>
      <c r="D270" s="196"/>
      <c r="E270" s="191" t="s">
        <v>1627</v>
      </c>
      <c r="F270" s="189"/>
      <c r="G270" s="190"/>
      <c r="H270" s="189"/>
      <c r="I270" s="189"/>
      <c r="J270" s="189"/>
      <c r="K270" s="189" t="s">
        <v>1617</v>
      </c>
      <c r="L270" s="189" t="s">
        <v>1618</v>
      </c>
      <c r="M270" s="190"/>
      <c r="N270" s="191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14"/>
      <c r="Z270" s="8"/>
    </row>
    <row r="271" spans="1:26" ht="15.75">
      <c r="A271" s="132"/>
      <c r="B271" s="132"/>
      <c r="C271" s="132"/>
      <c r="D271" s="129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8"/>
    </row>
    <row r="272" spans="1:26" ht="15.75">
      <c r="A272" s="132"/>
      <c r="B272" s="132"/>
      <c r="C272" s="132"/>
      <c r="D272" s="129" t="s">
        <v>1599</v>
      </c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8"/>
    </row>
    <row r="273" spans="1:30" ht="15.75">
      <c r="A273" s="217" t="s">
        <v>1</v>
      </c>
      <c r="B273" s="217" t="s">
        <v>18</v>
      </c>
      <c r="C273" s="217" t="s">
        <v>2</v>
      </c>
      <c r="D273" s="217" t="s">
        <v>137</v>
      </c>
      <c r="E273" s="213" t="s">
        <v>3</v>
      </c>
      <c r="F273" s="208" t="s">
        <v>4</v>
      </c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10"/>
      <c r="V273" s="208" t="s">
        <v>5</v>
      </c>
      <c r="W273" s="209"/>
      <c r="X273" s="210"/>
      <c r="Y273" s="23"/>
      <c r="Z273" s="8"/>
    </row>
    <row r="274" spans="1:30" ht="15.75" thickBot="1">
      <c r="A274" s="218"/>
      <c r="B274" s="218"/>
      <c r="C274" s="218"/>
      <c r="D274" s="218"/>
      <c r="E274" s="214"/>
      <c r="F274" s="25">
        <v>1</v>
      </c>
      <c r="G274" s="25">
        <v>2</v>
      </c>
      <c r="H274" s="25">
        <v>3</v>
      </c>
      <c r="I274" s="25">
        <v>4</v>
      </c>
      <c r="J274" s="25">
        <v>5</v>
      </c>
      <c r="K274" s="25">
        <v>6</v>
      </c>
      <c r="L274" s="25">
        <v>7</v>
      </c>
      <c r="M274" s="25">
        <v>8</v>
      </c>
      <c r="N274" s="25">
        <v>9</v>
      </c>
      <c r="O274" s="25">
        <v>10</v>
      </c>
      <c r="P274" s="25">
        <v>11</v>
      </c>
      <c r="Q274" s="25">
        <v>12</v>
      </c>
      <c r="R274" s="25">
        <v>13</v>
      </c>
      <c r="S274" s="25">
        <v>14</v>
      </c>
      <c r="T274" s="25">
        <v>15</v>
      </c>
      <c r="U274" s="25">
        <v>16</v>
      </c>
      <c r="V274" s="25" t="s">
        <v>6</v>
      </c>
      <c r="W274" s="25" t="s">
        <v>7</v>
      </c>
      <c r="X274" s="25" t="s">
        <v>8</v>
      </c>
    </row>
    <row r="275" spans="1:30" ht="15.75">
      <c r="A275" s="219"/>
      <c r="B275" s="219"/>
      <c r="C275" s="219"/>
      <c r="D275" s="219"/>
      <c r="E275" s="49" t="s">
        <v>394</v>
      </c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9"/>
      <c r="Z275" s="9"/>
      <c r="AA275" s="26" t="s">
        <v>535</v>
      </c>
      <c r="AB275" s="27"/>
      <c r="AC275" s="27"/>
      <c r="AD275" s="28"/>
    </row>
    <row r="276" spans="1:30" ht="15.75">
      <c r="A276" s="134">
        <v>1</v>
      </c>
      <c r="B276" s="11" t="s">
        <v>938</v>
      </c>
      <c r="C276" s="146">
        <v>252619421001</v>
      </c>
      <c r="D276" s="155" t="s">
        <v>555</v>
      </c>
      <c r="E276" s="67" t="s">
        <v>15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9"/>
      <c r="Z276" s="9"/>
      <c r="AA276" s="31"/>
      <c r="AB276" s="32"/>
      <c r="AC276" s="32"/>
      <c r="AD276" s="33"/>
    </row>
    <row r="277" spans="1:30" ht="15.75">
      <c r="A277" s="134">
        <v>2</v>
      </c>
      <c r="B277" s="11" t="s">
        <v>939</v>
      </c>
      <c r="C277" s="146">
        <v>252619421002</v>
      </c>
      <c r="D277" s="155" t="s">
        <v>556</v>
      </c>
      <c r="E277" s="67" t="s">
        <v>15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9"/>
      <c r="Z277" s="9"/>
      <c r="AA277" s="31" t="s">
        <v>342</v>
      </c>
      <c r="AB277" s="32"/>
      <c r="AC277" s="32"/>
      <c r="AD277" s="33"/>
    </row>
    <row r="278" spans="1:30" ht="15.75">
      <c r="A278" s="134">
        <v>3</v>
      </c>
      <c r="B278" s="11" t="s">
        <v>940</v>
      </c>
      <c r="C278" s="146">
        <v>252619421003</v>
      </c>
      <c r="D278" s="137" t="s">
        <v>536</v>
      </c>
      <c r="E278" s="67" t="s">
        <v>9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9"/>
      <c r="Z278" s="9"/>
      <c r="AA278" s="31" t="s">
        <v>538</v>
      </c>
      <c r="AB278" s="32"/>
      <c r="AC278" s="32"/>
      <c r="AD278" s="33"/>
    </row>
    <row r="279" spans="1:30" ht="16.5" thickBot="1">
      <c r="A279" s="134">
        <v>4</v>
      </c>
      <c r="B279" s="11" t="s">
        <v>941</v>
      </c>
      <c r="C279" s="146">
        <v>252619421004</v>
      </c>
      <c r="D279" s="155" t="s">
        <v>557</v>
      </c>
      <c r="E279" s="67" t="s">
        <v>15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9"/>
      <c r="Z279" s="9"/>
      <c r="AA279" s="35" t="s">
        <v>140</v>
      </c>
      <c r="AB279" s="36"/>
      <c r="AC279" s="36"/>
      <c r="AD279" s="37"/>
    </row>
    <row r="280" spans="1:30" ht="15.75">
      <c r="A280" s="134">
        <v>5</v>
      </c>
      <c r="B280" s="11" t="s">
        <v>942</v>
      </c>
      <c r="C280" s="146">
        <v>252619421005</v>
      </c>
      <c r="D280" s="155" t="s">
        <v>558</v>
      </c>
      <c r="E280" s="67" t="s">
        <v>15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9"/>
      <c r="Z280" s="9"/>
      <c r="AA280" s="15"/>
      <c r="AB280" s="15"/>
      <c r="AC280" s="15"/>
    </row>
    <row r="281" spans="1:30" ht="15.75">
      <c r="A281" s="134">
        <v>6</v>
      </c>
      <c r="B281" s="11" t="s">
        <v>943</v>
      </c>
      <c r="C281" s="146">
        <v>252619421006</v>
      </c>
      <c r="D281" s="155" t="s">
        <v>537</v>
      </c>
      <c r="E281" s="67" t="s">
        <v>9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9"/>
      <c r="Z281" s="9"/>
      <c r="AA281" s="15"/>
      <c r="AB281" s="15"/>
      <c r="AC281" s="15"/>
    </row>
    <row r="282" spans="1:30" ht="15.75">
      <c r="A282" s="134">
        <v>7</v>
      </c>
      <c r="B282" s="11" t="s">
        <v>944</v>
      </c>
      <c r="C282" s="146">
        <v>252619421007</v>
      </c>
      <c r="D282" s="155" t="s">
        <v>539</v>
      </c>
      <c r="E282" s="67" t="s">
        <v>9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9"/>
      <c r="Z282" s="9"/>
    </row>
    <row r="283" spans="1:30" ht="15.75">
      <c r="A283" s="134">
        <v>8</v>
      </c>
      <c r="B283" s="11" t="s">
        <v>945</v>
      </c>
      <c r="C283" s="146">
        <v>252619421008</v>
      </c>
      <c r="D283" s="155" t="s">
        <v>559</v>
      </c>
      <c r="E283" s="67" t="s">
        <v>15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9"/>
      <c r="Z283" s="9"/>
    </row>
    <row r="284" spans="1:30" ht="15.75">
      <c r="A284" s="134">
        <v>9</v>
      </c>
      <c r="B284" s="11" t="s">
        <v>946</v>
      </c>
      <c r="C284" s="146">
        <v>252619421009</v>
      </c>
      <c r="D284" s="155" t="s">
        <v>560</v>
      </c>
      <c r="E284" s="67" t="s">
        <v>15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9"/>
      <c r="Z284" s="9"/>
    </row>
    <row r="285" spans="1:30" ht="15.75">
      <c r="A285" s="134">
        <v>10</v>
      </c>
      <c r="B285" s="11" t="s">
        <v>947</v>
      </c>
      <c r="C285" s="146">
        <v>252619421011</v>
      </c>
      <c r="D285" s="155" t="s">
        <v>540</v>
      </c>
      <c r="E285" s="67" t="s">
        <v>9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9"/>
      <c r="Z285" s="9"/>
    </row>
    <row r="286" spans="1:30" ht="15.75">
      <c r="A286" s="134">
        <v>11</v>
      </c>
      <c r="B286" s="11" t="s">
        <v>948</v>
      </c>
      <c r="C286" s="146">
        <v>252619421012</v>
      </c>
      <c r="D286" s="155" t="s">
        <v>541</v>
      </c>
      <c r="E286" s="67" t="s">
        <v>9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9"/>
      <c r="Z286" s="9"/>
    </row>
    <row r="287" spans="1:30" ht="15.75">
      <c r="A287" s="134">
        <v>12</v>
      </c>
      <c r="B287" s="11" t="s">
        <v>949</v>
      </c>
      <c r="C287" s="146">
        <v>252619421013</v>
      </c>
      <c r="D287" s="155" t="s">
        <v>542</v>
      </c>
      <c r="E287" s="67" t="s">
        <v>9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9"/>
      <c r="Z287" s="9"/>
    </row>
    <row r="288" spans="1:30" ht="15.75">
      <c r="A288" s="134">
        <v>13</v>
      </c>
      <c r="B288" s="11" t="s">
        <v>950</v>
      </c>
      <c r="C288" s="146">
        <v>252619421014</v>
      </c>
      <c r="D288" s="155" t="s">
        <v>851</v>
      </c>
      <c r="E288" s="67" t="s">
        <v>15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9"/>
      <c r="Z288" s="9"/>
    </row>
    <row r="289" spans="1:29" ht="15.75">
      <c r="A289" s="134">
        <v>14</v>
      </c>
      <c r="B289" s="147" t="s">
        <v>951</v>
      </c>
      <c r="C289" s="146">
        <v>252619421015</v>
      </c>
      <c r="D289" s="155" t="s">
        <v>543</v>
      </c>
      <c r="E289" s="67" t="s">
        <v>9</v>
      </c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9"/>
      <c r="Z289" s="9"/>
    </row>
    <row r="290" spans="1:29" ht="15.75">
      <c r="A290" s="134">
        <v>15</v>
      </c>
      <c r="B290" s="11" t="s">
        <v>952</v>
      </c>
      <c r="C290" s="146">
        <v>252619421016</v>
      </c>
      <c r="D290" s="155" t="s">
        <v>544</v>
      </c>
      <c r="E290" s="67" t="s">
        <v>9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9"/>
      <c r="Z290" s="9"/>
    </row>
    <row r="291" spans="1:29" ht="15.75">
      <c r="A291" s="134">
        <v>16</v>
      </c>
      <c r="B291" s="11" t="s">
        <v>953</v>
      </c>
      <c r="C291" s="146">
        <v>252619421017</v>
      </c>
      <c r="D291" s="155" t="s">
        <v>545</v>
      </c>
      <c r="E291" s="67" t="s">
        <v>9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9"/>
      <c r="Z291" s="9"/>
    </row>
    <row r="292" spans="1:29" ht="15.75">
      <c r="A292" s="134">
        <v>17</v>
      </c>
      <c r="B292" s="11" t="s">
        <v>954</v>
      </c>
      <c r="C292" s="146">
        <v>252619421018</v>
      </c>
      <c r="D292" s="155" t="s">
        <v>561</v>
      </c>
      <c r="E292" s="67" t="s">
        <v>15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9"/>
      <c r="Z292" s="9"/>
    </row>
    <row r="293" spans="1:29" ht="15.75">
      <c r="A293" s="134">
        <v>18</v>
      </c>
      <c r="B293" s="11" t="s">
        <v>955</v>
      </c>
      <c r="C293" s="146">
        <v>252619421019</v>
      </c>
      <c r="D293" s="155" t="s">
        <v>547</v>
      </c>
      <c r="E293" s="67" t="s">
        <v>9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9"/>
      <c r="Z293" s="9"/>
    </row>
    <row r="294" spans="1:29" ht="15.75">
      <c r="A294" s="134">
        <v>19</v>
      </c>
      <c r="B294" s="11" t="s">
        <v>956</v>
      </c>
      <c r="C294" s="146">
        <v>252619421020</v>
      </c>
      <c r="D294" s="156" t="s">
        <v>548</v>
      </c>
      <c r="E294" s="67" t="s">
        <v>9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9"/>
      <c r="Z294" s="9"/>
      <c r="AB294" s="51"/>
      <c r="AC294" s="52"/>
    </row>
    <row r="295" spans="1:29" ht="15.75">
      <c r="A295" s="134">
        <v>20</v>
      </c>
      <c r="B295" s="11" t="s">
        <v>957</v>
      </c>
      <c r="C295" s="146">
        <v>252619421021</v>
      </c>
      <c r="D295" s="156" t="s">
        <v>549</v>
      </c>
      <c r="E295" s="67" t="s">
        <v>9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9"/>
      <c r="Z295" s="9"/>
      <c r="AB295" s="51"/>
      <c r="AC295" s="52"/>
    </row>
    <row r="296" spans="1:29" ht="15.75">
      <c r="A296" s="134">
        <v>21</v>
      </c>
      <c r="B296" s="11" t="s">
        <v>958</v>
      </c>
      <c r="C296" s="146">
        <v>252619421022</v>
      </c>
      <c r="D296" s="155" t="s">
        <v>562</v>
      </c>
      <c r="E296" s="67" t="s">
        <v>15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9"/>
      <c r="Z296" s="9"/>
    </row>
    <row r="297" spans="1:29" ht="15.75">
      <c r="A297" s="134">
        <v>22</v>
      </c>
      <c r="B297" s="11" t="s">
        <v>959</v>
      </c>
      <c r="C297" s="146">
        <v>252619421023</v>
      </c>
      <c r="D297" s="155" t="s">
        <v>563</v>
      </c>
      <c r="E297" s="67" t="s">
        <v>15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9"/>
      <c r="Z297" s="9"/>
    </row>
    <row r="298" spans="1:29" ht="15.75">
      <c r="A298" s="134">
        <v>23</v>
      </c>
      <c r="B298" s="11" t="s">
        <v>960</v>
      </c>
      <c r="C298" s="146">
        <v>252619421024</v>
      </c>
      <c r="D298" s="155" t="s">
        <v>564</v>
      </c>
      <c r="E298" s="67" t="s">
        <v>15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9"/>
      <c r="Z298" s="9"/>
      <c r="AB298" s="58"/>
      <c r="AC298" s="58"/>
    </row>
    <row r="299" spans="1:29" ht="15.75">
      <c r="A299" s="134">
        <v>24</v>
      </c>
      <c r="B299" s="11" t="s">
        <v>961</v>
      </c>
      <c r="C299" s="146">
        <v>252619421025</v>
      </c>
      <c r="D299" s="155" t="s">
        <v>565</v>
      </c>
      <c r="E299" s="67" t="s">
        <v>15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9"/>
      <c r="Z299" s="9"/>
    </row>
    <row r="300" spans="1:29" ht="15.75">
      <c r="A300" s="134">
        <v>25</v>
      </c>
      <c r="B300" s="11" t="s">
        <v>962</v>
      </c>
      <c r="C300" s="146">
        <v>252619421026</v>
      </c>
      <c r="D300" s="155" t="s">
        <v>550</v>
      </c>
      <c r="E300" s="67" t="s">
        <v>9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9"/>
      <c r="Z300" s="9"/>
    </row>
    <row r="301" spans="1:29" ht="15.75">
      <c r="A301" s="134">
        <v>26</v>
      </c>
      <c r="B301" s="11" t="s">
        <v>963</v>
      </c>
      <c r="C301" s="146">
        <v>252619421027</v>
      </c>
      <c r="D301" s="157" t="s">
        <v>551</v>
      </c>
      <c r="E301" s="67" t="s">
        <v>9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9"/>
      <c r="Z301" s="9"/>
    </row>
    <row r="302" spans="1:29" ht="15.75">
      <c r="A302" s="134">
        <v>27</v>
      </c>
      <c r="B302" s="11" t="s">
        <v>964</v>
      </c>
      <c r="C302" s="146">
        <v>252619421028</v>
      </c>
      <c r="D302" s="155" t="s">
        <v>552</v>
      </c>
      <c r="E302" s="67" t="s">
        <v>9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9"/>
      <c r="Z302" s="9"/>
    </row>
    <row r="303" spans="1:29" ht="15.75">
      <c r="A303" s="134">
        <v>28</v>
      </c>
      <c r="B303" s="11" t="s">
        <v>965</v>
      </c>
      <c r="C303" s="146">
        <v>252619421029</v>
      </c>
      <c r="D303" s="155" t="s">
        <v>567</v>
      </c>
      <c r="E303" s="67" t="s">
        <v>15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9"/>
      <c r="Z303" s="9"/>
      <c r="AB303" s="58"/>
      <c r="AC303" s="58"/>
    </row>
    <row r="304" spans="1:29" ht="15.75">
      <c r="A304" s="134">
        <v>29</v>
      </c>
      <c r="B304" s="11" t="s">
        <v>966</v>
      </c>
      <c r="C304" s="146">
        <v>252619421030</v>
      </c>
      <c r="D304" s="155" t="s">
        <v>566</v>
      </c>
      <c r="E304" s="67" t="s">
        <v>15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9"/>
      <c r="Z304" s="9"/>
    </row>
    <row r="305" spans="1:29" ht="15.75">
      <c r="A305" s="134">
        <v>30</v>
      </c>
      <c r="B305" s="11" t="s">
        <v>967</v>
      </c>
      <c r="C305" s="146">
        <v>252619421031</v>
      </c>
      <c r="D305" s="155" t="s">
        <v>553</v>
      </c>
      <c r="E305" s="67" t="s">
        <v>9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9"/>
      <c r="Z305" s="9"/>
    </row>
    <row r="306" spans="1:29" ht="15.75">
      <c r="A306" s="134">
        <v>31</v>
      </c>
      <c r="B306" s="11" t="s">
        <v>968</v>
      </c>
      <c r="C306" s="146">
        <v>252619421032</v>
      </c>
      <c r="D306" s="155" t="s">
        <v>546</v>
      </c>
      <c r="E306" s="67" t="s">
        <v>9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9"/>
      <c r="Z306" s="9"/>
    </row>
    <row r="307" spans="1:29">
      <c r="A307" s="134">
        <v>32</v>
      </c>
      <c r="B307" s="11" t="s">
        <v>969</v>
      </c>
      <c r="C307" s="146">
        <v>252619421033</v>
      </c>
      <c r="D307" s="155" t="s">
        <v>568</v>
      </c>
      <c r="E307" s="67" t="s">
        <v>15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9">
      <c r="A308" s="134">
        <v>33</v>
      </c>
      <c r="B308" s="11" t="s">
        <v>970</v>
      </c>
      <c r="C308" s="146">
        <v>252619421034</v>
      </c>
      <c r="D308" s="155" t="s">
        <v>554</v>
      </c>
      <c r="E308" s="67" t="s">
        <v>9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AB308" s="58"/>
      <c r="AC308" s="58"/>
    </row>
    <row r="309" spans="1:29">
      <c r="A309" s="134">
        <v>34</v>
      </c>
      <c r="B309" s="11" t="s">
        <v>971</v>
      </c>
      <c r="C309" s="146">
        <v>252619421035</v>
      </c>
      <c r="D309" s="155" t="s">
        <v>569</v>
      </c>
      <c r="E309" s="67" t="s">
        <v>15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AB309" s="58"/>
      <c r="AC309" s="58"/>
    </row>
    <row r="310" spans="1:29">
      <c r="A310" s="134">
        <v>35</v>
      </c>
      <c r="B310" s="11" t="s">
        <v>972</v>
      </c>
      <c r="C310" s="146">
        <v>252619421036</v>
      </c>
      <c r="D310" s="155" t="s">
        <v>570</v>
      </c>
      <c r="E310" s="67" t="s">
        <v>15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9">
      <c r="A311" s="158">
        <v>36</v>
      </c>
      <c r="B311" s="143" t="s">
        <v>973</v>
      </c>
      <c r="C311" s="159">
        <v>252619421037</v>
      </c>
      <c r="D311" s="108" t="s">
        <v>572</v>
      </c>
      <c r="E311" s="70" t="s">
        <v>9</v>
      </c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1:29">
      <c r="A312" s="158">
        <v>37</v>
      </c>
      <c r="B312" s="160" t="s">
        <v>974</v>
      </c>
      <c r="C312" s="159">
        <v>252619421038</v>
      </c>
      <c r="D312" s="186" t="s">
        <v>571</v>
      </c>
      <c r="E312" s="70" t="s">
        <v>9</v>
      </c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1:29">
      <c r="A313" s="158">
        <v>38</v>
      </c>
      <c r="B313" s="160"/>
      <c r="C313" s="184">
        <v>252619421116</v>
      </c>
      <c r="D313" s="187" t="s">
        <v>1608</v>
      </c>
      <c r="E313" s="185" t="s">
        <v>9</v>
      </c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1:29">
      <c r="D314" s="188"/>
    </row>
    <row r="315" spans="1:29">
      <c r="A315" s="138"/>
      <c r="B315" s="138"/>
      <c r="C315" s="138"/>
      <c r="G315" s="7"/>
      <c r="H315" s="7"/>
    </row>
    <row r="316" spans="1:29">
      <c r="A316" s="138"/>
      <c r="B316" s="138"/>
      <c r="C316" s="138"/>
      <c r="D316" s="176" t="s">
        <v>10</v>
      </c>
      <c r="E316" s="89">
        <f>COUNTIF(E276:E313,"L")</f>
        <v>21</v>
      </c>
      <c r="G316" s="2"/>
      <c r="W316" s="2"/>
      <c r="X316" s="3"/>
      <c r="AB316" s="58"/>
      <c r="AC316" s="58"/>
    </row>
    <row r="317" spans="1:29">
      <c r="A317" s="138"/>
      <c r="B317" s="138"/>
      <c r="C317" s="138"/>
      <c r="D317" s="176" t="s">
        <v>11</v>
      </c>
      <c r="E317" s="89">
        <f>COUNTIF(E276:E313,"P")</f>
        <v>17</v>
      </c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1"/>
      <c r="S317" s="2"/>
      <c r="T317" s="2"/>
      <c r="U317" s="2"/>
      <c r="V317" s="2"/>
      <c r="W317" s="2"/>
      <c r="X317" s="3"/>
      <c r="Y317" s="2"/>
    </row>
    <row r="318" spans="1:29">
      <c r="D318" s="180" t="s">
        <v>864</v>
      </c>
      <c r="E318" s="181">
        <f>SUM(E316,E317)</f>
        <v>38</v>
      </c>
      <c r="U318" s="2"/>
      <c r="V318" s="2"/>
      <c r="W318" s="2"/>
      <c r="X318" s="3"/>
      <c r="Y318" s="2"/>
    </row>
    <row r="319" spans="1:29">
      <c r="U319" s="2"/>
      <c r="V319" s="2"/>
      <c r="W319" s="2"/>
      <c r="X319" s="3"/>
      <c r="Y319" s="2"/>
    </row>
    <row r="320" spans="1:29">
      <c r="A320" s="139" t="s">
        <v>12</v>
      </c>
      <c r="B320" s="139"/>
      <c r="C320" s="139"/>
      <c r="D320" s="137"/>
      <c r="E320" s="1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1" t="s">
        <v>1605</v>
      </c>
      <c r="Q320" s="2"/>
      <c r="T320" s="2"/>
      <c r="U320" s="2"/>
      <c r="V320" s="2"/>
      <c r="W320" s="2"/>
      <c r="X320" s="2"/>
      <c r="Y320" s="2"/>
      <c r="AB320" s="58"/>
      <c r="AC320" s="58"/>
    </row>
    <row r="321" spans="1:29" ht="15.75">
      <c r="A321" s="139" t="s">
        <v>13</v>
      </c>
      <c r="B321" s="139"/>
      <c r="C321" s="139"/>
      <c r="D321" s="137"/>
      <c r="E321" s="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1" t="s">
        <v>14</v>
      </c>
      <c r="Q321" s="3"/>
      <c r="S321" s="2"/>
      <c r="T321" s="2"/>
      <c r="U321" s="2"/>
      <c r="V321" s="2"/>
      <c r="W321" s="9"/>
      <c r="X321" s="9"/>
      <c r="Y321" s="2"/>
    </row>
    <row r="322" spans="1:29" ht="15.75">
      <c r="A322" s="139"/>
      <c r="B322" s="139"/>
      <c r="C322" s="139"/>
      <c r="D322" s="137"/>
      <c r="E322" s="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1"/>
      <c r="Q322" s="3"/>
      <c r="S322" s="2"/>
      <c r="T322" s="2"/>
      <c r="U322" s="9"/>
      <c r="V322" s="9"/>
      <c r="Y322" s="9"/>
      <c r="AB322" s="59"/>
      <c r="AC322" s="13"/>
    </row>
    <row r="323" spans="1:29" ht="15.75">
      <c r="A323" s="139"/>
      <c r="B323" s="139"/>
      <c r="C323" s="139"/>
      <c r="D323" s="137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S323" s="2"/>
      <c r="T323" s="2"/>
      <c r="U323" s="9"/>
      <c r="V323" s="9"/>
    </row>
    <row r="324" spans="1:29" ht="15.75">
      <c r="A324" s="140" t="s">
        <v>854</v>
      </c>
      <c r="B324" s="140"/>
      <c r="C324" s="140"/>
      <c r="D324" s="140"/>
      <c r="E324" s="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8" t="s">
        <v>16</v>
      </c>
      <c r="Q324" s="8"/>
      <c r="S324" s="2"/>
      <c r="T324" s="9"/>
    </row>
    <row r="325" spans="1:29" ht="15.75">
      <c r="A325" s="140" t="s">
        <v>855</v>
      </c>
      <c r="B325" s="140"/>
      <c r="C325" s="140"/>
      <c r="D325" s="137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8" t="s">
        <v>17</v>
      </c>
      <c r="Q325" s="2"/>
      <c r="T325" s="9"/>
    </row>
    <row r="326" spans="1:29">
      <c r="D326" s="137"/>
    </row>
    <row r="350" spans="1:24" ht="15.75">
      <c r="A350" s="211" t="s">
        <v>132</v>
      </c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</row>
    <row r="351" spans="1:24" ht="15.75">
      <c r="A351" s="211" t="s">
        <v>0</v>
      </c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</row>
    <row r="353" spans="1:25" ht="15.75">
      <c r="A353" s="153" t="s">
        <v>133</v>
      </c>
      <c r="B353" s="153"/>
      <c r="C353" s="130" t="s">
        <v>1615</v>
      </c>
      <c r="D353" s="153"/>
      <c r="E353" s="55" t="s">
        <v>1623</v>
      </c>
      <c r="F353" s="85"/>
      <c r="G353" s="85"/>
      <c r="H353" s="85"/>
      <c r="I353" s="85"/>
      <c r="J353" s="85"/>
      <c r="K353" s="85"/>
      <c r="L353" s="85" t="s">
        <v>1628</v>
      </c>
      <c r="Y353" s="8"/>
    </row>
    <row r="354" spans="1:25" ht="15.75">
      <c r="A354" s="153" t="s">
        <v>134</v>
      </c>
      <c r="B354" s="153"/>
      <c r="C354" s="130" t="s">
        <v>135</v>
      </c>
      <c r="D354" s="161"/>
      <c r="E354" s="86" t="s">
        <v>1621</v>
      </c>
      <c r="F354" s="84"/>
      <c r="G354" s="84"/>
      <c r="H354" s="84"/>
      <c r="I354" s="84"/>
      <c r="J354" s="84"/>
      <c r="K354" s="84"/>
      <c r="L354" s="190" t="s">
        <v>2625</v>
      </c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8"/>
    </row>
    <row r="355" spans="1:25">
      <c r="A355" s="153" t="s">
        <v>573</v>
      </c>
      <c r="B355" s="153"/>
      <c r="C355" s="130" t="s">
        <v>21</v>
      </c>
      <c r="D355" s="161"/>
      <c r="E355" s="86" t="s">
        <v>1625</v>
      </c>
      <c r="F355" s="84"/>
      <c r="G355" s="84"/>
      <c r="H355" s="84"/>
      <c r="I355" s="84"/>
      <c r="J355" s="84"/>
      <c r="K355" s="84"/>
      <c r="L355" s="190" t="s">
        <v>2625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23"/>
    </row>
    <row r="356" spans="1:25">
      <c r="A356" s="132"/>
      <c r="B356" s="132"/>
      <c r="C356" s="132"/>
      <c r="D356" s="129"/>
      <c r="E356" s="55" t="s">
        <v>1627</v>
      </c>
      <c r="F356" s="85"/>
      <c r="G356" s="84"/>
      <c r="H356" s="85"/>
      <c r="I356" s="85"/>
      <c r="J356" s="85"/>
      <c r="K356" s="85" t="s">
        <v>1617</v>
      </c>
      <c r="L356" s="85" t="s">
        <v>1618</v>
      </c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14"/>
    </row>
    <row r="357" spans="1:25"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>
      <c r="A358" s="132"/>
      <c r="B358" s="132"/>
      <c r="C358" s="132"/>
      <c r="D358" s="129" t="s">
        <v>1599</v>
      </c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>
      <c r="A359" s="217" t="s">
        <v>1</v>
      </c>
      <c r="B359" s="217" t="s">
        <v>18</v>
      </c>
      <c r="C359" s="217" t="s">
        <v>2</v>
      </c>
      <c r="D359" s="217" t="s">
        <v>137</v>
      </c>
      <c r="E359" s="213" t="s">
        <v>3</v>
      </c>
      <c r="F359" s="208" t="s">
        <v>4</v>
      </c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10"/>
      <c r="V359" s="208" t="s">
        <v>5</v>
      </c>
      <c r="W359" s="209"/>
      <c r="X359" s="210"/>
      <c r="Y359" s="23"/>
    </row>
    <row r="360" spans="1:25">
      <c r="A360" s="218"/>
      <c r="B360" s="218"/>
      <c r="C360" s="218"/>
      <c r="D360" s="218"/>
      <c r="E360" s="214"/>
      <c r="F360" s="25">
        <v>1</v>
      </c>
      <c r="G360" s="25">
        <v>2</v>
      </c>
      <c r="H360" s="25">
        <v>3</v>
      </c>
      <c r="I360" s="25">
        <v>4</v>
      </c>
      <c r="J360" s="25">
        <v>5</v>
      </c>
      <c r="K360" s="25">
        <v>6</v>
      </c>
      <c r="L360" s="25">
        <v>7</v>
      </c>
      <c r="M360" s="25">
        <v>8</v>
      </c>
      <c r="N360" s="25">
        <v>9</v>
      </c>
      <c r="O360" s="25">
        <v>10</v>
      </c>
      <c r="P360" s="25">
        <v>11</v>
      </c>
      <c r="Q360" s="25">
        <v>12</v>
      </c>
      <c r="R360" s="25">
        <v>13</v>
      </c>
      <c r="S360" s="25">
        <v>14</v>
      </c>
      <c r="T360" s="25">
        <v>15</v>
      </c>
      <c r="U360" s="25">
        <v>16</v>
      </c>
      <c r="V360" s="25" t="s">
        <v>6</v>
      </c>
      <c r="W360" s="25" t="s">
        <v>7</v>
      </c>
      <c r="X360" s="25" t="s">
        <v>8</v>
      </c>
    </row>
    <row r="361" spans="1:25" ht="15.75">
      <c r="A361" s="219"/>
      <c r="B361" s="219"/>
      <c r="C361" s="219"/>
      <c r="D361" s="219"/>
      <c r="E361" s="49" t="s">
        <v>394</v>
      </c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9"/>
    </row>
    <row r="362" spans="1:25" ht="15.75">
      <c r="A362" s="134">
        <v>1</v>
      </c>
      <c r="B362" s="107" t="s">
        <v>975</v>
      </c>
      <c r="C362" s="107">
        <v>252619421039</v>
      </c>
      <c r="D362" s="108" t="s">
        <v>574</v>
      </c>
      <c r="E362" s="67" t="s">
        <v>9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9"/>
    </row>
    <row r="363" spans="1:25" ht="15.75">
      <c r="A363" s="134">
        <v>2</v>
      </c>
      <c r="B363" s="107" t="s">
        <v>976</v>
      </c>
      <c r="C363" s="107">
        <v>252619421040</v>
      </c>
      <c r="D363" s="108" t="s">
        <v>575</v>
      </c>
      <c r="E363" s="67" t="s">
        <v>9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9"/>
    </row>
    <row r="364" spans="1:25" ht="15.75">
      <c r="A364" s="134">
        <v>3</v>
      </c>
      <c r="B364" s="107" t="s">
        <v>977</v>
      </c>
      <c r="C364" s="107">
        <v>252619421041</v>
      </c>
      <c r="D364" s="108" t="s">
        <v>576</v>
      </c>
      <c r="E364" s="67" t="s">
        <v>15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9"/>
    </row>
    <row r="365" spans="1:25" ht="15.75">
      <c r="A365" s="134">
        <v>4</v>
      </c>
      <c r="B365" s="107" t="s">
        <v>978</v>
      </c>
      <c r="C365" s="107">
        <v>252619421042</v>
      </c>
      <c r="D365" s="108" t="s">
        <v>577</v>
      </c>
      <c r="E365" s="67" t="s">
        <v>15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9"/>
    </row>
    <row r="366" spans="1:25" ht="15.75">
      <c r="A366" s="134">
        <v>5</v>
      </c>
      <c r="B366" s="107" t="s">
        <v>979</v>
      </c>
      <c r="C366" s="107">
        <v>252619421044</v>
      </c>
      <c r="D366" s="108" t="s">
        <v>578</v>
      </c>
      <c r="E366" s="67" t="s">
        <v>15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9"/>
    </row>
    <row r="367" spans="1:25" ht="15.75">
      <c r="A367" s="134">
        <v>6</v>
      </c>
      <c r="B367" s="107" t="s">
        <v>980</v>
      </c>
      <c r="C367" s="107">
        <v>252619421045</v>
      </c>
      <c r="D367" s="108" t="s">
        <v>579</v>
      </c>
      <c r="E367" s="67" t="s">
        <v>15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9"/>
    </row>
    <row r="368" spans="1:25" ht="15.75">
      <c r="A368" s="134">
        <v>7</v>
      </c>
      <c r="B368" s="107" t="s">
        <v>981</v>
      </c>
      <c r="C368" s="107">
        <v>252619421046</v>
      </c>
      <c r="D368" s="108" t="s">
        <v>580</v>
      </c>
      <c r="E368" s="67" t="s">
        <v>15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9"/>
    </row>
    <row r="369" spans="1:32" ht="15.75">
      <c r="A369" s="134">
        <v>8</v>
      </c>
      <c r="B369" s="107" t="s">
        <v>982</v>
      </c>
      <c r="C369" s="107">
        <v>252619421047</v>
      </c>
      <c r="D369" s="108" t="s">
        <v>581</v>
      </c>
      <c r="E369" s="67" t="s">
        <v>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9"/>
    </row>
    <row r="370" spans="1:32" ht="16.5" thickBot="1">
      <c r="A370" s="134">
        <v>9</v>
      </c>
      <c r="B370" s="107" t="s">
        <v>983</v>
      </c>
      <c r="C370" s="107">
        <v>252619421048</v>
      </c>
      <c r="D370" s="108" t="s">
        <v>582</v>
      </c>
      <c r="E370" s="67" t="s">
        <v>15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9"/>
    </row>
    <row r="371" spans="1:32" ht="15.75">
      <c r="A371" s="134">
        <v>10</v>
      </c>
      <c r="B371" s="107" t="s">
        <v>984</v>
      </c>
      <c r="C371" s="107">
        <v>252619421049</v>
      </c>
      <c r="D371" s="108" t="s">
        <v>583</v>
      </c>
      <c r="E371" s="67" t="s">
        <v>9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9"/>
      <c r="AA371" s="26" t="s">
        <v>393</v>
      </c>
      <c r="AB371" s="27"/>
      <c r="AC371" s="27"/>
      <c r="AD371" s="28"/>
      <c r="AE371" s="28"/>
      <c r="AF371" s="29"/>
    </row>
    <row r="372" spans="1:32" ht="15.75">
      <c r="A372" s="134">
        <v>11</v>
      </c>
      <c r="B372" s="107" t="s">
        <v>985</v>
      </c>
      <c r="C372" s="107">
        <v>252619421050</v>
      </c>
      <c r="D372" s="108" t="s">
        <v>986</v>
      </c>
      <c r="E372" s="67" t="s">
        <v>9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9"/>
      <c r="AA372" s="31" t="s">
        <v>342</v>
      </c>
      <c r="AB372" s="32"/>
      <c r="AC372" s="32"/>
      <c r="AD372" s="33"/>
      <c r="AE372" s="33"/>
      <c r="AF372" s="34"/>
    </row>
    <row r="373" spans="1:32" ht="15.75">
      <c r="A373" s="134">
        <v>12</v>
      </c>
      <c r="B373" s="107" t="s">
        <v>987</v>
      </c>
      <c r="C373" s="107">
        <v>252619421051</v>
      </c>
      <c r="D373" s="108" t="s">
        <v>584</v>
      </c>
      <c r="E373" s="67" t="s">
        <v>9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9"/>
      <c r="AA373" s="31" t="s">
        <v>538</v>
      </c>
      <c r="AB373" s="32"/>
      <c r="AC373" s="32"/>
      <c r="AD373" s="33"/>
      <c r="AE373" s="33"/>
      <c r="AF373" s="34"/>
    </row>
    <row r="374" spans="1:32" ht="16.5" thickBot="1">
      <c r="A374" s="134">
        <v>13</v>
      </c>
      <c r="B374" s="107" t="s">
        <v>988</v>
      </c>
      <c r="C374" s="107">
        <v>252619421052</v>
      </c>
      <c r="D374" s="108" t="s">
        <v>585</v>
      </c>
      <c r="E374" s="67" t="s">
        <v>15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9"/>
      <c r="AA374" s="35" t="s">
        <v>140</v>
      </c>
      <c r="AB374" s="36"/>
      <c r="AC374" s="36"/>
      <c r="AD374" s="37"/>
      <c r="AE374" s="37"/>
      <c r="AF374" s="38"/>
    </row>
    <row r="375" spans="1:32" ht="15.75">
      <c r="A375" s="134">
        <v>14</v>
      </c>
      <c r="B375" s="107" t="s">
        <v>989</v>
      </c>
      <c r="C375" s="107">
        <v>252619421053</v>
      </c>
      <c r="D375" s="108" t="s">
        <v>586</v>
      </c>
      <c r="E375" s="67" t="s">
        <v>9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9"/>
    </row>
    <row r="376" spans="1:32" ht="15.75">
      <c r="A376" s="134">
        <v>15</v>
      </c>
      <c r="B376" s="107" t="s">
        <v>990</v>
      </c>
      <c r="C376" s="107">
        <v>252619421054</v>
      </c>
      <c r="D376" s="108" t="s">
        <v>587</v>
      </c>
      <c r="E376" s="67" t="s">
        <v>9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9"/>
    </row>
    <row r="377" spans="1:32" ht="15.75">
      <c r="A377" s="134">
        <v>16</v>
      </c>
      <c r="B377" s="107" t="s">
        <v>991</v>
      </c>
      <c r="C377" s="107">
        <v>252619421055</v>
      </c>
      <c r="D377" s="108" t="s">
        <v>588</v>
      </c>
      <c r="E377" s="67" t="s">
        <v>9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9"/>
    </row>
    <row r="378" spans="1:32" ht="15.75">
      <c r="A378" s="134">
        <v>17</v>
      </c>
      <c r="B378" s="107" t="s">
        <v>992</v>
      </c>
      <c r="C378" s="107">
        <v>252619421056</v>
      </c>
      <c r="D378" s="108" t="s">
        <v>589</v>
      </c>
      <c r="E378" s="67" t="s">
        <v>9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9"/>
    </row>
    <row r="379" spans="1:32" ht="15.75">
      <c r="A379" s="134">
        <v>18</v>
      </c>
      <c r="B379" s="107" t="s">
        <v>993</v>
      </c>
      <c r="C379" s="107">
        <v>252619421057</v>
      </c>
      <c r="D379" s="108" t="s">
        <v>590</v>
      </c>
      <c r="E379" s="67" t="s">
        <v>9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9"/>
    </row>
    <row r="380" spans="1:32" ht="15.75">
      <c r="A380" s="134">
        <v>19</v>
      </c>
      <c r="B380" s="107" t="s">
        <v>994</v>
      </c>
      <c r="C380" s="107">
        <v>252619421058</v>
      </c>
      <c r="D380" s="108" t="s">
        <v>591</v>
      </c>
      <c r="E380" s="67" t="s">
        <v>9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9"/>
    </row>
    <row r="381" spans="1:32" ht="15.75">
      <c r="A381" s="134">
        <v>20</v>
      </c>
      <c r="B381" s="107" t="s">
        <v>995</v>
      </c>
      <c r="C381" s="107">
        <v>252619421059</v>
      </c>
      <c r="D381" s="108" t="s">
        <v>592</v>
      </c>
      <c r="E381" s="67" t="s">
        <v>9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9"/>
    </row>
    <row r="382" spans="1:32" ht="15.75">
      <c r="A382" s="134">
        <v>21</v>
      </c>
      <c r="B382" s="107" t="s">
        <v>996</v>
      </c>
      <c r="C382" s="107">
        <v>252619421060</v>
      </c>
      <c r="D382" s="108" t="s">
        <v>593</v>
      </c>
      <c r="E382" s="67" t="s">
        <v>15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9"/>
    </row>
    <row r="383" spans="1:32" ht="15.75">
      <c r="A383" s="134">
        <v>22</v>
      </c>
      <c r="B383" s="107" t="s">
        <v>997</v>
      </c>
      <c r="C383" s="107">
        <v>252619421061</v>
      </c>
      <c r="D383" s="108" t="s">
        <v>594</v>
      </c>
      <c r="E383" s="67" t="s">
        <v>15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9"/>
    </row>
    <row r="384" spans="1:32" ht="15.75">
      <c r="A384" s="134">
        <v>23</v>
      </c>
      <c r="B384" s="107" t="s">
        <v>998</v>
      </c>
      <c r="C384" s="107">
        <v>252619421062</v>
      </c>
      <c r="D384" s="108" t="s">
        <v>595</v>
      </c>
      <c r="E384" s="67" t="s">
        <v>9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9"/>
    </row>
    <row r="385" spans="1:31" ht="15.75">
      <c r="A385" s="134">
        <v>24</v>
      </c>
      <c r="B385" s="107" t="s">
        <v>999</v>
      </c>
      <c r="C385" s="107">
        <v>252619421063</v>
      </c>
      <c r="D385" s="108" t="s">
        <v>596</v>
      </c>
      <c r="E385" s="67" t="s">
        <v>9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9"/>
    </row>
    <row r="386" spans="1:31" ht="15.75">
      <c r="A386" s="134">
        <v>25</v>
      </c>
      <c r="B386" s="107" t="s">
        <v>1000</v>
      </c>
      <c r="C386" s="107">
        <v>252619421064</v>
      </c>
      <c r="D386" s="108" t="s">
        <v>597</v>
      </c>
      <c r="E386" s="67" t="s">
        <v>9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9"/>
    </row>
    <row r="387" spans="1:31" ht="15.75">
      <c r="A387" s="134">
        <v>27</v>
      </c>
      <c r="B387" s="107" t="s">
        <v>1001</v>
      </c>
      <c r="C387" s="107">
        <v>252619421066</v>
      </c>
      <c r="D387" s="108" t="s">
        <v>598</v>
      </c>
      <c r="E387" s="67" t="s">
        <v>9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9"/>
      <c r="AA387" s="52"/>
    </row>
    <row r="388" spans="1:31" ht="15.75">
      <c r="A388" s="134">
        <v>28</v>
      </c>
      <c r="B388" s="107" t="s">
        <v>1002</v>
      </c>
      <c r="C388" s="107">
        <v>252619421068</v>
      </c>
      <c r="D388" s="108" t="s">
        <v>599</v>
      </c>
      <c r="E388" s="67" t="s">
        <v>9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9"/>
    </row>
    <row r="389" spans="1:31" ht="15.75">
      <c r="A389" s="134">
        <v>29</v>
      </c>
      <c r="B389" s="107" t="s">
        <v>1003</v>
      </c>
      <c r="C389" s="107">
        <v>252619421069</v>
      </c>
      <c r="D389" s="108" t="s">
        <v>600</v>
      </c>
      <c r="E389" s="67" t="s">
        <v>9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9"/>
    </row>
    <row r="390" spans="1:31" ht="15.75">
      <c r="A390" s="134">
        <v>30</v>
      </c>
      <c r="B390" s="107" t="s">
        <v>1004</v>
      </c>
      <c r="C390" s="107">
        <v>252619421070</v>
      </c>
      <c r="D390" s="108" t="s">
        <v>601</v>
      </c>
      <c r="E390" s="67" t="s">
        <v>15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9"/>
    </row>
    <row r="391" spans="1:31" ht="15.75">
      <c r="A391" s="134">
        <v>31</v>
      </c>
      <c r="B391" s="107" t="s">
        <v>1005</v>
      </c>
      <c r="C391" s="107">
        <v>252619421071</v>
      </c>
      <c r="D391" s="108" t="s">
        <v>602</v>
      </c>
      <c r="E391" s="67" t="s">
        <v>15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9"/>
    </row>
    <row r="392" spans="1:31">
      <c r="A392" s="134">
        <v>32</v>
      </c>
      <c r="B392" s="107" t="s">
        <v>1006</v>
      </c>
      <c r="C392" s="107">
        <v>252619421072</v>
      </c>
      <c r="D392" s="108" t="s">
        <v>603</v>
      </c>
      <c r="E392" s="67" t="s">
        <v>9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31">
      <c r="A393" s="134">
        <v>33</v>
      </c>
      <c r="B393" s="107" t="s">
        <v>1007</v>
      </c>
      <c r="C393" s="107">
        <v>252619421073</v>
      </c>
      <c r="D393" s="108" t="s">
        <v>604</v>
      </c>
      <c r="E393" s="67" t="s">
        <v>15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31">
      <c r="A394" s="134">
        <v>34</v>
      </c>
      <c r="B394" s="107" t="s">
        <v>1008</v>
      </c>
      <c r="C394" s="107">
        <v>252619421074</v>
      </c>
      <c r="D394" s="108" t="s">
        <v>605</v>
      </c>
      <c r="E394" s="67" t="s">
        <v>15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31">
      <c r="A395" s="134">
        <v>35</v>
      </c>
      <c r="B395" s="107" t="s">
        <v>1009</v>
      </c>
      <c r="C395" s="107">
        <v>252619421075</v>
      </c>
      <c r="D395" s="108" t="s">
        <v>606</v>
      </c>
      <c r="E395" s="67" t="s">
        <v>15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31">
      <c r="A396" s="134">
        <v>36</v>
      </c>
      <c r="B396" s="107" t="s">
        <v>1010</v>
      </c>
      <c r="C396" s="107">
        <v>252619421115</v>
      </c>
      <c r="D396" s="108" t="s">
        <v>1011</v>
      </c>
      <c r="E396" s="67" t="s">
        <v>9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AE396" s="10"/>
    </row>
    <row r="397" spans="1:31">
      <c r="A397" s="134">
        <v>37</v>
      </c>
      <c r="B397" s="107" t="s">
        <v>1012</v>
      </c>
      <c r="C397" s="107">
        <v>252619421076</v>
      </c>
      <c r="D397" s="108" t="s">
        <v>607</v>
      </c>
      <c r="E397" s="70" t="s">
        <v>15</v>
      </c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AE397" s="10"/>
    </row>
    <row r="398" spans="1:31">
      <c r="A398" s="134">
        <v>38</v>
      </c>
      <c r="B398" s="107"/>
      <c r="C398" s="107">
        <v>252619421117</v>
      </c>
      <c r="D398" s="108" t="s">
        <v>1610</v>
      </c>
      <c r="E398" s="70" t="s">
        <v>15</v>
      </c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AE398" s="10"/>
    </row>
    <row r="399" spans="1:31">
      <c r="A399" s="135"/>
      <c r="B399" s="136"/>
      <c r="C399" s="136"/>
      <c r="D399" s="137"/>
      <c r="E399" s="78"/>
      <c r="AE399" s="10"/>
    </row>
    <row r="400" spans="1:31">
      <c r="A400" s="138"/>
      <c r="B400" s="138"/>
      <c r="C400" s="138"/>
      <c r="G400" s="7"/>
      <c r="H400" s="7"/>
    </row>
    <row r="401" spans="1:25">
      <c r="A401" s="138"/>
      <c r="B401" s="138"/>
      <c r="C401" s="138"/>
      <c r="D401" s="176" t="s">
        <v>10</v>
      </c>
      <c r="E401" s="89">
        <f>COUNTIF(E362:E398,"L")</f>
        <v>21</v>
      </c>
      <c r="G401" s="2"/>
    </row>
    <row r="402" spans="1:25">
      <c r="A402" s="138"/>
      <c r="B402" s="138"/>
      <c r="C402" s="138"/>
      <c r="D402" s="176" t="s">
        <v>11</v>
      </c>
      <c r="E402" s="89">
        <f>COUNTIF(E362:E398,"P")</f>
        <v>16</v>
      </c>
      <c r="G402" s="2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1"/>
      <c r="S402" s="2"/>
      <c r="T402" s="2"/>
      <c r="U402" s="2"/>
      <c r="V402" s="2"/>
      <c r="W402" s="2"/>
      <c r="X402" s="3"/>
    </row>
    <row r="403" spans="1:25">
      <c r="A403" s="138"/>
      <c r="B403" s="138"/>
      <c r="C403" s="138"/>
      <c r="D403" s="180" t="s">
        <v>864</v>
      </c>
      <c r="E403" s="175">
        <f>SUM(E401:E402)</f>
        <v>37</v>
      </c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1"/>
      <c r="S403" s="2"/>
      <c r="T403" s="2"/>
      <c r="U403" s="2"/>
      <c r="V403" s="2"/>
      <c r="W403" s="2"/>
      <c r="X403" s="3"/>
    </row>
    <row r="404" spans="1:25">
      <c r="A404" s="139" t="s">
        <v>12</v>
      </c>
      <c r="B404" s="139"/>
      <c r="C404" s="139"/>
      <c r="D404" s="139"/>
      <c r="E404" s="1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1" t="s">
        <v>1605</v>
      </c>
      <c r="Q404" s="2"/>
      <c r="T404" s="2"/>
      <c r="U404" s="2"/>
      <c r="V404" s="2"/>
      <c r="W404" s="2"/>
      <c r="X404" s="3"/>
      <c r="Y404" s="2"/>
    </row>
    <row r="405" spans="1:25">
      <c r="A405" s="139" t="s">
        <v>13</v>
      </c>
      <c r="B405" s="139"/>
      <c r="C405" s="139"/>
      <c r="D405" s="139"/>
      <c r="E405" s="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" t="s">
        <v>14</v>
      </c>
      <c r="Q405" s="3"/>
      <c r="S405" s="2"/>
      <c r="T405" s="2"/>
      <c r="U405" s="2"/>
      <c r="V405" s="2"/>
      <c r="W405" s="2"/>
      <c r="X405" s="3"/>
      <c r="Y405" s="2"/>
    </row>
    <row r="406" spans="1:25">
      <c r="A406" s="139"/>
      <c r="B406" s="139"/>
      <c r="C406" s="139"/>
      <c r="D406" s="139"/>
      <c r="E406" s="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"/>
      <c r="Q406" s="3"/>
      <c r="S406" s="2"/>
      <c r="T406" s="2"/>
      <c r="U406" s="2"/>
      <c r="V406" s="2"/>
      <c r="W406" s="2"/>
      <c r="X406" s="3"/>
      <c r="Y406" s="2"/>
    </row>
    <row r="407" spans="1:25">
      <c r="A407" s="139"/>
      <c r="B407" s="139"/>
      <c r="C407" s="139"/>
      <c r="D407" s="139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S407" s="2"/>
      <c r="T407" s="2"/>
      <c r="U407" s="2"/>
      <c r="V407" s="2"/>
      <c r="W407" s="2"/>
      <c r="X407" s="2"/>
      <c r="Y407" s="2"/>
    </row>
    <row r="408" spans="1:25" ht="15.75">
      <c r="A408" s="140" t="s">
        <v>854</v>
      </c>
      <c r="B408" s="140"/>
      <c r="C408" s="140"/>
      <c r="D408" s="140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8" t="s">
        <v>16</v>
      </c>
      <c r="Q408" s="8"/>
      <c r="S408" s="2"/>
      <c r="T408" s="9"/>
      <c r="U408" s="9"/>
      <c r="V408" s="9"/>
      <c r="W408" s="9"/>
      <c r="X408" s="9"/>
      <c r="Y408" s="2"/>
    </row>
    <row r="409" spans="1:25" ht="15.75">
      <c r="A409" s="140" t="s">
        <v>855</v>
      </c>
      <c r="B409" s="140"/>
      <c r="C409" s="140"/>
      <c r="D409" s="140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8" t="s">
        <v>17</v>
      </c>
      <c r="Q409" s="2"/>
      <c r="T409" s="9"/>
      <c r="U409" s="9"/>
      <c r="V409" s="9"/>
      <c r="Y409" s="9"/>
    </row>
    <row r="425" ht="14.65" customHeight="1"/>
    <row r="426" ht="14.65" customHeight="1"/>
    <row r="427" ht="14.65" customHeight="1"/>
    <row r="435" spans="1:30" ht="15.75">
      <c r="A435" s="211" t="s">
        <v>132</v>
      </c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</row>
    <row r="436" spans="1:30" ht="15.75">
      <c r="A436" s="211" t="s">
        <v>0</v>
      </c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</row>
    <row r="437" spans="1:30" ht="15.75">
      <c r="Y437" s="8"/>
    </row>
    <row r="438" spans="1:30">
      <c r="A438" s="194" t="s">
        <v>133</v>
      </c>
      <c r="B438" s="194"/>
      <c r="C438" s="195" t="s">
        <v>1616</v>
      </c>
      <c r="D438" s="194"/>
      <c r="E438" s="191" t="s">
        <v>1623</v>
      </c>
      <c r="F438" s="189"/>
      <c r="G438" s="189"/>
      <c r="H438" s="189"/>
      <c r="I438" s="189"/>
      <c r="J438" s="189"/>
      <c r="K438" s="189"/>
      <c r="L438" s="189" t="s">
        <v>1628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200"/>
      <c r="Z438" s="192"/>
    </row>
    <row r="439" spans="1:30">
      <c r="A439" s="194" t="s">
        <v>134</v>
      </c>
      <c r="B439" s="194"/>
      <c r="C439" s="195" t="s">
        <v>135</v>
      </c>
      <c r="D439" s="196"/>
      <c r="E439" s="193" t="s">
        <v>1621</v>
      </c>
      <c r="F439" s="190"/>
      <c r="G439" s="190"/>
      <c r="H439" s="190"/>
      <c r="I439" s="190"/>
      <c r="J439" s="190"/>
      <c r="K439" s="190"/>
      <c r="L439" s="190" t="s">
        <v>2625</v>
      </c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1"/>
      <c r="Z439" s="192"/>
    </row>
    <row r="440" spans="1:30">
      <c r="A440" s="194" t="s">
        <v>136</v>
      </c>
      <c r="B440" s="194"/>
      <c r="C440" s="195" t="s">
        <v>135</v>
      </c>
      <c r="D440" s="196"/>
      <c r="E440" s="193" t="s">
        <v>1625</v>
      </c>
      <c r="F440" s="190"/>
      <c r="G440" s="190"/>
      <c r="H440" s="190"/>
      <c r="I440" s="190"/>
      <c r="J440" s="190"/>
      <c r="K440" s="190"/>
      <c r="L440" s="190" t="s">
        <v>2625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3"/>
      <c r="Z440" s="192"/>
    </row>
    <row r="441" spans="1:30">
      <c r="A441" s="201"/>
      <c r="B441" s="201"/>
      <c r="C441" s="201"/>
      <c r="D441" s="194"/>
      <c r="E441" s="191" t="s">
        <v>1627</v>
      </c>
      <c r="F441" s="189"/>
      <c r="G441" s="190"/>
      <c r="H441" s="189"/>
      <c r="I441" s="189"/>
      <c r="J441" s="189"/>
      <c r="K441" s="189" t="s">
        <v>1617</v>
      </c>
      <c r="L441" s="189" t="s">
        <v>1618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2"/>
    </row>
    <row r="442" spans="1:30">
      <c r="A442" s="201"/>
      <c r="B442" s="201"/>
      <c r="C442" s="201"/>
      <c r="D442" s="194"/>
      <c r="E442" s="191"/>
      <c r="F442" s="189"/>
      <c r="G442" s="190"/>
      <c r="H442" s="189"/>
      <c r="I442" s="189"/>
      <c r="J442" s="189"/>
      <c r="K442" s="189"/>
      <c r="L442" s="189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2"/>
    </row>
    <row r="443" spans="1:30">
      <c r="A443" s="132"/>
      <c r="B443" s="132"/>
      <c r="C443" s="132"/>
      <c r="D443" s="129" t="s">
        <v>1599</v>
      </c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30">
      <c r="A444" s="217" t="s">
        <v>1</v>
      </c>
      <c r="B444" s="217" t="s">
        <v>18</v>
      </c>
      <c r="C444" s="217" t="s">
        <v>2</v>
      </c>
      <c r="D444" s="217" t="s">
        <v>137</v>
      </c>
      <c r="E444" s="213" t="s">
        <v>3</v>
      </c>
      <c r="F444" s="208" t="s">
        <v>4</v>
      </c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10"/>
      <c r="V444" s="208" t="s">
        <v>5</v>
      </c>
      <c r="W444" s="209"/>
      <c r="X444" s="210"/>
      <c r="Y444" s="23"/>
    </row>
    <row r="445" spans="1:30">
      <c r="A445" s="218"/>
      <c r="B445" s="218"/>
      <c r="C445" s="218"/>
      <c r="D445" s="218"/>
      <c r="E445" s="214"/>
      <c r="F445" s="25">
        <v>1</v>
      </c>
      <c r="G445" s="25">
        <v>2</v>
      </c>
      <c r="H445" s="25">
        <v>3</v>
      </c>
      <c r="I445" s="25">
        <v>4</v>
      </c>
      <c r="J445" s="25">
        <v>5</v>
      </c>
      <c r="K445" s="25">
        <v>6</v>
      </c>
      <c r="L445" s="25">
        <v>7</v>
      </c>
      <c r="M445" s="25">
        <v>8</v>
      </c>
      <c r="N445" s="25">
        <v>9</v>
      </c>
      <c r="O445" s="25">
        <v>10</v>
      </c>
      <c r="P445" s="25">
        <v>11</v>
      </c>
      <c r="Q445" s="25">
        <v>12</v>
      </c>
      <c r="R445" s="25">
        <v>13</v>
      </c>
      <c r="S445" s="25">
        <v>14</v>
      </c>
      <c r="T445" s="25">
        <v>15</v>
      </c>
      <c r="U445" s="25">
        <v>16</v>
      </c>
      <c r="V445" s="25" t="s">
        <v>6</v>
      </c>
      <c r="W445" s="25" t="s">
        <v>7</v>
      </c>
      <c r="X445" s="25" t="s">
        <v>8</v>
      </c>
    </row>
    <row r="446" spans="1:30" ht="15.75">
      <c r="A446" s="219"/>
      <c r="B446" s="219"/>
      <c r="C446" s="219"/>
      <c r="D446" s="219"/>
      <c r="E446" s="49" t="s">
        <v>394</v>
      </c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9"/>
    </row>
    <row r="447" spans="1:30" ht="15.75">
      <c r="A447" s="115">
        <v>1</v>
      </c>
      <c r="B447" s="107" t="s">
        <v>1013</v>
      </c>
      <c r="C447" s="107">
        <v>252619421077</v>
      </c>
      <c r="D447" s="108" t="s">
        <v>608</v>
      </c>
      <c r="E447" s="67" t="s">
        <v>9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9"/>
    </row>
    <row r="448" spans="1:30" ht="15.75">
      <c r="A448" s="115">
        <v>2</v>
      </c>
      <c r="B448" s="107" t="s">
        <v>1014</v>
      </c>
      <c r="C448" s="107">
        <v>252619421078</v>
      </c>
      <c r="D448" s="108" t="s">
        <v>609</v>
      </c>
      <c r="E448" s="67" t="s">
        <v>9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9"/>
      <c r="AB448" s="52"/>
      <c r="AD448" s="52"/>
    </row>
    <row r="449" spans="1:32" ht="15.75">
      <c r="A449" s="115">
        <v>3</v>
      </c>
      <c r="B449" s="107" t="s">
        <v>1015</v>
      </c>
      <c r="C449" s="107">
        <v>252619421079</v>
      </c>
      <c r="D449" s="108" t="s">
        <v>610</v>
      </c>
      <c r="E449" s="67" t="s">
        <v>9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9"/>
    </row>
    <row r="450" spans="1:32" ht="15.75">
      <c r="A450" s="115">
        <v>4</v>
      </c>
      <c r="B450" s="107" t="s">
        <v>1016</v>
      </c>
      <c r="C450" s="107">
        <v>252619421080</v>
      </c>
      <c r="D450" s="108" t="s">
        <v>611</v>
      </c>
      <c r="E450" s="67" t="s">
        <v>15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9"/>
    </row>
    <row r="451" spans="1:32" ht="15.75">
      <c r="A451" s="115">
        <v>5</v>
      </c>
      <c r="B451" s="107" t="s">
        <v>1017</v>
      </c>
      <c r="C451" s="107">
        <v>252619421081</v>
      </c>
      <c r="D451" s="108" t="s">
        <v>612</v>
      </c>
      <c r="E451" s="67" t="s">
        <v>15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9"/>
    </row>
    <row r="452" spans="1:32" ht="16.5" thickBot="1">
      <c r="A452" s="115">
        <v>6</v>
      </c>
      <c r="B452" s="107" t="s">
        <v>1018</v>
      </c>
      <c r="C452" s="107">
        <v>252619421082</v>
      </c>
      <c r="D452" s="108" t="s">
        <v>613</v>
      </c>
      <c r="E452" s="67" t="s">
        <v>15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9"/>
    </row>
    <row r="453" spans="1:32" ht="15.75">
      <c r="A453" s="115">
        <v>7</v>
      </c>
      <c r="B453" s="107" t="s">
        <v>1019</v>
      </c>
      <c r="C453" s="107">
        <v>252619421083</v>
      </c>
      <c r="D453" s="108" t="s">
        <v>614</v>
      </c>
      <c r="E453" s="67" t="s">
        <v>15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9"/>
      <c r="AA453" s="26" t="s">
        <v>393</v>
      </c>
      <c r="AB453" s="27"/>
      <c r="AC453" s="27"/>
      <c r="AD453" s="28"/>
      <c r="AE453" s="28"/>
      <c r="AF453" s="29"/>
    </row>
    <row r="454" spans="1:32" ht="15.75">
      <c r="A454" s="115">
        <v>8</v>
      </c>
      <c r="B454" s="107" t="s">
        <v>1020</v>
      </c>
      <c r="C454" s="107">
        <v>252619421084</v>
      </c>
      <c r="D454" s="108" t="s">
        <v>615</v>
      </c>
      <c r="E454" s="67" t="s">
        <v>9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9"/>
      <c r="AA454" s="31" t="s">
        <v>342</v>
      </c>
      <c r="AB454" s="32"/>
      <c r="AC454" s="32"/>
      <c r="AD454" s="33"/>
      <c r="AE454" s="33"/>
      <c r="AF454" s="34"/>
    </row>
    <row r="455" spans="1:32" ht="15.75">
      <c r="A455" s="115">
        <v>9</v>
      </c>
      <c r="B455" s="107" t="s">
        <v>1021</v>
      </c>
      <c r="C455" s="107">
        <v>252619421085</v>
      </c>
      <c r="D455" s="108" t="s">
        <v>616</v>
      </c>
      <c r="E455" s="67" t="s">
        <v>15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9"/>
      <c r="AA455" s="31" t="s">
        <v>538</v>
      </c>
      <c r="AB455" s="32"/>
      <c r="AC455" s="32"/>
      <c r="AD455" s="33"/>
      <c r="AE455" s="33"/>
      <c r="AF455" s="34"/>
    </row>
    <row r="456" spans="1:32" ht="16.5" thickBot="1">
      <c r="A456" s="115">
        <v>10</v>
      </c>
      <c r="B456" s="107" t="s">
        <v>1022</v>
      </c>
      <c r="C456" s="107">
        <v>252619421086</v>
      </c>
      <c r="D456" s="108" t="s">
        <v>617</v>
      </c>
      <c r="E456" s="67" t="s">
        <v>9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9"/>
      <c r="AA456" s="35" t="s">
        <v>140</v>
      </c>
      <c r="AB456" s="36"/>
      <c r="AC456" s="36"/>
      <c r="AD456" s="37"/>
      <c r="AE456" s="37"/>
      <c r="AF456" s="38"/>
    </row>
    <row r="457" spans="1:32" ht="15.75">
      <c r="A457" s="115">
        <v>11</v>
      </c>
      <c r="B457" s="107" t="s">
        <v>1023</v>
      </c>
      <c r="C457" s="107">
        <v>252619421087</v>
      </c>
      <c r="D457" s="108" t="s">
        <v>618</v>
      </c>
      <c r="E457" s="67" t="s">
        <v>15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9"/>
    </row>
    <row r="458" spans="1:32" ht="15.75">
      <c r="A458" s="115">
        <v>12</v>
      </c>
      <c r="B458" s="107" t="s">
        <v>1024</v>
      </c>
      <c r="C458" s="107">
        <v>252619421088</v>
      </c>
      <c r="D458" s="108" t="s">
        <v>619</v>
      </c>
      <c r="E458" s="67" t="s">
        <v>9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9"/>
    </row>
    <row r="459" spans="1:32" ht="15.75">
      <c r="A459" s="115">
        <v>13</v>
      </c>
      <c r="B459" s="107" t="s">
        <v>1025</v>
      </c>
      <c r="C459" s="107">
        <v>252619421089</v>
      </c>
      <c r="D459" s="108" t="s">
        <v>620</v>
      </c>
      <c r="E459" s="67" t="s">
        <v>9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9"/>
    </row>
    <row r="460" spans="1:32" ht="15.75">
      <c r="A460" s="115">
        <v>14</v>
      </c>
      <c r="B460" s="107" t="s">
        <v>1026</v>
      </c>
      <c r="C460" s="107">
        <v>252619421090</v>
      </c>
      <c r="D460" s="108" t="s">
        <v>621</v>
      </c>
      <c r="E460" s="67" t="s">
        <v>9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9"/>
    </row>
    <row r="461" spans="1:32" ht="15.75">
      <c r="A461" s="115">
        <v>15</v>
      </c>
      <c r="B461" s="107" t="s">
        <v>1027</v>
      </c>
      <c r="C461" s="107">
        <v>252619421091</v>
      </c>
      <c r="D461" s="108" t="s">
        <v>622</v>
      </c>
      <c r="E461" s="67" t="s">
        <v>15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9"/>
    </row>
    <row r="462" spans="1:32" ht="15.75">
      <c r="A462" s="115">
        <v>16</v>
      </c>
      <c r="B462" s="107" t="s">
        <v>1028</v>
      </c>
      <c r="C462" s="107">
        <v>252619421092</v>
      </c>
      <c r="D462" s="108" t="s">
        <v>623</v>
      </c>
      <c r="E462" s="67" t="s">
        <v>9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9"/>
    </row>
    <row r="463" spans="1:32" ht="15.75">
      <c r="A463" s="115">
        <v>17</v>
      </c>
      <c r="B463" s="107" t="s">
        <v>1029</v>
      </c>
      <c r="C463" s="107">
        <v>252619421093</v>
      </c>
      <c r="D463" s="108" t="s">
        <v>624</v>
      </c>
      <c r="E463" s="67" t="s">
        <v>15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9"/>
    </row>
    <row r="464" spans="1:32" ht="15.75">
      <c r="A464" s="115">
        <v>18</v>
      </c>
      <c r="B464" s="107" t="s">
        <v>1030</v>
      </c>
      <c r="C464" s="107">
        <v>252619421094</v>
      </c>
      <c r="D464" s="108" t="s">
        <v>625</v>
      </c>
      <c r="E464" s="67" t="s">
        <v>9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9"/>
    </row>
    <row r="465" spans="1:29" ht="15.75">
      <c r="A465" s="115">
        <v>19</v>
      </c>
      <c r="B465" s="107" t="s">
        <v>1031</v>
      </c>
      <c r="C465" s="107">
        <v>252619421095</v>
      </c>
      <c r="D465" s="108" t="s">
        <v>626</v>
      </c>
      <c r="E465" s="67" t="s">
        <v>9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9"/>
    </row>
    <row r="466" spans="1:29" ht="15.75">
      <c r="A466" s="115">
        <v>20</v>
      </c>
      <c r="B466" s="107" t="s">
        <v>1032</v>
      </c>
      <c r="C466" s="107">
        <v>252619421096</v>
      </c>
      <c r="D466" s="108" t="s">
        <v>627</v>
      </c>
      <c r="E466" s="67" t="s">
        <v>9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9"/>
    </row>
    <row r="467" spans="1:29" ht="15.75">
      <c r="A467" s="115">
        <v>21</v>
      </c>
      <c r="B467" s="107" t="s">
        <v>1033</v>
      </c>
      <c r="C467" s="107">
        <v>252619421097</v>
      </c>
      <c r="D467" s="108" t="s">
        <v>628</v>
      </c>
      <c r="E467" s="67" t="s">
        <v>9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9"/>
    </row>
    <row r="468" spans="1:29" ht="15.75">
      <c r="A468" s="115">
        <v>22</v>
      </c>
      <c r="B468" s="107" t="s">
        <v>1034</v>
      </c>
      <c r="C468" s="107">
        <v>252619421098</v>
      </c>
      <c r="D468" s="108" t="s">
        <v>629</v>
      </c>
      <c r="E468" s="67" t="s">
        <v>9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9"/>
    </row>
    <row r="469" spans="1:29" ht="15.75">
      <c r="A469" s="115">
        <v>23</v>
      </c>
      <c r="B469" s="107" t="s">
        <v>1035</v>
      </c>
      <c r="C469" s="107">
        <v>252619421099</v>
      </c>
      <c r="D469" s="108" t="s">
        <v>630</v>
      </c>
      <c r="E469" s="67" t="s">
        <v>9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9"/>
    </row>
    <row r="470" spans="1:29" ht="15.75">
      <c r="A470" s="115">
        <v>24</v>
      </c>
      <c r="B470" s="107" t="s">
        <v>1036</v>
      </c>
      <c r="C470" s="107">
        <v>252619421100</v>
      </c>
      <c r="D470" s="108" t="s">
        <v>631</v>
      </c>
      <c r="E470" s="67" t="s">
        <v>9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9"/>
    </row>
    <row r="471" spans="1:29" ht="15.75">
      <c r="A471" s="115">
        <v>25</v>
      </c>
      <c r="B471" s="107" t="s">
        <v>1037</v>
      </c>
      <c r="C471" s="107">
        <v>252619421101</v>
      </c>
      <c r="D471" s="108" t="s">
        <v>632</v>
      </c>
      <c r="E471" s="67" t="s">
        <v>15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9"/>
    </row>
    <row r="472" spans="1:29" ht="15.75">
      <c r="A472" s="115">
        <v>26</v>
      </c>
      <c r="B472" s="107" t="s">
        <v>1038</v>
      </c>
      <c r="C472" s="107">
        <v>252619421102</v>
      </c>
      <c r="D472" s="108" t="s">
        <v>633</v>
      </c>
      <c r="E472" s="67" t="s">
        <v>15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9"/>
    </row>
    <row r="473" spans="1:29" ht="15.75">
      <c r="A473" s="115">
        <v>27</v>
      </c>
      <c r="B473" s="107" t="s">
        <v>1039</v>
      </c>
      <c r="C473" s="107">
        <v>252619421103</v>
      </c>
      <c r="D473" s="108" t="s">
        <v>634</v>
      </c>
      <c r="E473" s="67" t="s">
        <v>15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9"/>
    </row>
    <row r="474" spans="1:29" ht="15.75">
      <c r="A474" s="115">
        <v>28</v>
      </c>
      <c r="B474" s="107" t="s">
        <v>1040</v>
      </c>
      <c r="C474" s="107">
        <v>252619421104</v>
      </c>
      <c r="D474" s="108" t="s">
        <v>635</v>
      </c>
      <c r="E474" s="67" t="s">
        <v>15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9"/>
    </row>
    <row r="475" spans="1:29" ht="15.75">
      <c r="A475" s="115">
        <v>29</v>
      </c>
      <c r="B475" s="107" t="s">
        <v>1041</v>
      </c>
      <c r="C475" s="107">
        <v>252619421105</v>
      </c>
      <c r="D475" s="108" t="s">
        <v>636</v>
      </c>
      <c r="E475" s="67" t="s">
        <v>15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9"/>
    </row>
    <row r="476" spans="1:29" ht="15.75">
      <c r="A476" s="115">
        <v>30</v>
      </c>
      <c r="B476" s="107" t="s">
        <v>1042</v>
      </c>
      <c r="C476" s="107">
        <v>252619421106</v>
      </c>
      <c r="D476" s="108" t="s">
        <v>637</v>
      </c>
      <c r="E476" s="67" t="s">
        <v>9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9"/>
    </row>
    <row r="477" spans="1:29" ht="15.75">
      <c r="A477" s="115">
        <v>31</v>
      </c>
      <c r="B477" s="107" t="s">
        <v>1043</v>
      </c>
      <c r="C477" s="107">
        <v>252619421107</v>
      </c>
      <c r="D477" s="108" t="s">
        <v>638</v>
      </c>
      <c r="E477" s="67" t="s">
        <v>9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9"/>
      <c r="AC477" s="52"/>
    </row>
    <row r="478" spans="1:29">
      <c r="A478" s="115">
        <v>32</v>
      </c>
      <c r="B478" s="107" t="s">
        <v>1044</v>
      </c>
      <c r="C478" s="107">
        <v>252619421108</v>
      </c>
      <c r="D478" s="108" t="s">
        <v>639</v>
      </c>
      <c r="E478" s="67" t="s">
        <v>15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9">
      <c r="A479" s="115">
        <v>33</v>
      </c>
      <c r="B479" s="107" t="s">
        <v>1045</v>
      </c>
      <c r="C479" s="107">
        <v>252619421109</v>
      </c>
      <c r="D479" s="108" t="s">
        <v>640</v>
      </c>
      <c r="E479" s="67" t="s">
        <v>9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9">
      <c r="A480" s="115">
        <v>34</v>
      </c>
      <c r="B480" s="107" t="s">
        <v>1046</v>
      </c>
      <c r="C480" s="107">
        <v>252619421110</v>
      </c>
      <c r="D480" s="108" t="s">
        <v>641</v>
      </c>
      <c r="E480" s="67" t="s">
        <v>15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30">
      <c r="A481" s="115">
        <v>35</v>
      </c>
      <c r="B481" s="107" t="s">
        <v>1047</v>
      </c>
      <c r="C481" s="107">
        <v>252619421111</v>
      </c>
      <c r="D481" s="108" t="s">
        <v>642</v>
      </c>
      <c r="E481" s="67" t="s">
        <v>15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30">
      <c r="A482" s="115">
        <v>36</v>
      </c>
      <c r="B482" s="107" t="s">
        <v>1048</v>
      </c>
      <c r="C482" s="107">
        <v>252619421112</v>
      </c>
      <c r="D482" s="108" t="s">
        <v>643</v>
      </c>
      <c r="E482" s="67" t="s">
        <v>15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30">
      <c r="A483" s="115">
        <v>37</v>
      </c>
      <c r="B483" s="107" t="s">
        <v>1049</v>
      </c>
      <c r="C483" s="107">
        <v>252619421113</v>
      </c>
      <c r="D483" s="108" t="s">
        <v>644</v>
      </c>
      <c r="E483" s="67" t="s">
        <v>9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AD483" s="11"/>
    </row>
    <row r="484" spans="1:30">
      <c r="A484" s="115">
        <v>38</v>
      </c>
      <c r="B484" s="107"/>
      <c r="C484" s="107">
        <v>252619421118</v>
      </c>
      <c r="D484" s="108" t="s">
        <v>1609</v>
      </c>
      <c r="E484" s="67" t="s">
        <v>15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30">
      <c r="A485" s="162"/>
      <c r="B485" s="136"/>
      <c r="C485" s="136"/>
      <c r="E485" s="78"/>
    </row>
    <row r="486" spans="1:30">
      <c r="A486" s="138"/>
      <c r="B486" s="138"/>
      <c r="C486" s="138"/>
      <c r="G486" s="7"/>
      <c r="H486" s="7"/>
    </row>
    <row r="487" spans="1:30">
      <c r="A487" s="138"/>
      <c r="B487" s="138"/>
      <c r="C487" s="138"/>
      <c r="D487" s="176" t="s">
        <v>10</v>
      </c>
      <c r="E487" s="89">
        <f>COUNTIF(E447:E484,"L")</f>
        <v>20</v>
      </c>
      <c r="G487" s="2"/>
    </row>
    <row r="488" spans="1:30">
      <c r="A488" s="138"/>
      <c r="B488" s="138"/>
      <c r="C488" s="138"/>
      <c r="D488" s="176" t="s">
        <v>11</v>
      </c>
      <c r="E488" s="89">
        <f>COUNTIF(E447:E484,"P")</f>
        <v>18</v>
      </c>
      <c r="G488" s="2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1"/>
      <c r="S488" s="2"/>
      <c r="T488" s="2"/>
      <c r="U488" s="2"/>
      <c r="V488" s="2"/>
      <c r="W488" s="2"/>
      <c r="X488" s="3"/>
    </row>
    <row r="489" spans="1:30">
      <c r="D489" s="173" t="s">
        <v>864</v>
      </c>
      <c r="E489" s="90">
        <f>SUM(E487:E488)</f>
        <v>38</v>
      </c>
      <c r="F489" s="2"/>
      <c r="G489" s="2"/>
      <c r="H489" s="2"/>
      <c r="I489" s="3"/>
      <c r="J489" s="3"/>
      <c r="K489" s="3"/>
      <c r="L489" s="3"/>
      <c r="M489" s="3"/>
      <c r="N489" s="3"/>
      <c r="O489" s="3"/>
      <c r="T489" s="2"/>
      <c r="U489" s="2"/>
      <c r="V489" s="2"/>
      <c r="W489" s="2"/>
      <c r="X489" s="3"/>
      <c r="Y489" s="2"/>
    </row>
    <row r="490" spans="1:30">
      <c r="D490" s="139"/>
      <c r="E490" s="1"/>
      <c r="F490" s="3"/>
      <c r="G490" s="3"/>
      <c r="H490" s="3"/>
      <c r="I490" s="3"/>
      <c r="J490" s="3"/>
      <c r="K490" s="3"/>
      <c r="L490" s="3"/>
      <c r="M490" s="3"/>
      <c r="N490" s="3"/>
      <c r="O490" s="3"/>
      <c r="S490" s="2"/>
      <c r="T490" s="2"/>
      <c r="U490" s="2"/>
      <c r="V490" s="2"/>
      <c r="W490" s="2"/>
      <c r="X490" s="3"/>
      <c r="Y490" s="2"/>
    </row>
    <row r="491" spans="1:30">
      <c r="D491" s="139"/>
      <c r="E491" s="1"/>
      <c r="F491" s="3"/>
      <c r="G491" s="3"/>
      <c r="H491" s="3"/>
      <c r="I491" s="3"/>
      <c r="J491" s="3"/>
      <c r="K491" s="3"/>
      <c r="L491" s="3"/>
      <c r="M491" s="3"/>
      <c r="N491" s="3"/>
      <c r="O491" s="3"/>
      <c r="S491" s="2"/>
      <c r="T491" s="2"/>
      <c r="U491" s="2"/>
      <c r="V491" s="2"/>
      <c r="W491" s="2"/>
      <c r="X491" s="3"/>
      <c r="Y491" s="2"/>
    </row>
    <row r="492" spans="1:30">
      <c r="A492" s="139" t="s">
        <v>12</v>
      </c>
      <c r="B492" s="139"/>
      <c r="C492" s="139"/>
      <c r="D492" s="139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1" t="s">
        <v>1605</v>
      </c>
      <c r="P492" s="2"/>
      <c r="S492" s="2"/>
      <c r="T492" s="2"/>
      <c r="U492" s="2"/>
      <c r="V492" s="2"/>
      <c r="W492" s="2"/>
      <c r="X492" s="2"/>
      <c r="Y492" s="2"/>
    </row>
    <row r="493" spans="1:30" ht="15.75">
      <c r="A493" s="139" t="s">
        <v>13</v>
      </c>
      <c r="B493" s="139"/>
      <c r="C493" s="139"/>
      <c r="D493" s="140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1" t="s">
        <v>14</v>
      </c>
      <c r="P493" s="3"/>
      <c r="S493" s="2"/>
      <c r="T493" s="9"/>
      <c r="U493" s="9"/>
      <c r="V493" s="9"/>
      <c r="W493" s="9"/>
      <c r="X493" s="9"/>
      <c r="Y493" s="2"/>
    </row>
    <row r="494" spans="1:30" ht="15.75">
      <c r="A494" s="139"/>
      <c r="B494" s="139"/>
      <c r="C494" s="139"/>
      <c r="D494" s="140"/>
      <c r="E494" s="8"/>
      <c r="F494" s="9"/>
      <c r="G494" s="9"/>
      <c r="H494" s="9"/>
      <c r="I494" s="9"/>
      <c r="J494" s="9"/>
      <c r="K494" s="9"/>
      <c r="L494" s="9"/>
      <c r="M494" s="9"/>
      <c r="N494" s="9"/>
      <c r="O494" s="1"/>
      <c r="P494" s="3"/>
      <c r="T494" s="9"/>
      <c r="U494" s="9"/>
      <c r="V494" s="9"/>
      <c r="Y494" s="9"/>
    </row>
    <row r="495" spans="1:30" ht="15.75">
      <c r="A495" s="139"/>
      <c r="B495" s="139"/>
      <c r="C495" s="139"/>
      <c r="D495" s="140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2"/>
      <c r="P495" s="2"/>
      <c r="Q495" s="2"/>
      <c r="T495" s="9"/>
      <c r="U495" s="9"/>
      <c r="V495" s="9"/>
    </row>
    <row r="496" spans="1:30" ht="15.75">
      <c r="A496" s="140" t="s">
        <v>854</v>
      </c>
      <c r="B496" s="140"/>
      <c r="C496" s="140"/>
      <c r="D496" s="140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8" t="s">
        <v>16</v>
      </c>
      <c r="P496" s="8"/>
      <c r="Q496" s="2"/>
      <c r="T496" s="9"/>
      <c r="U496" s="9"/>
      <c r="V496" s="9"/>
    </row>
    <row r="497" spans="1:22" ht="15.75">
      <c r="A497" s="140" t="s">
        <v>855</v>
      </c>
      <c r="B497" s="140"/>
      <c r="C497" s="140"/>
      <c r="D497" s="140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8" t="s">
        <v>17</v>
      </c>
      <c r="P497" s="2"/>
      <c r="Q497" s="2"/>
      <c r="T497" s="9"/>
      <c r="U497" s="9"/>
      <c r="V497" s="9"/>
    </row>
    <row r="498" spans="1:22" ht="15.75">
      <c r="A498" s="140"/>
      <c r="B498" s="140"/>
      <c r="C498" s="140"/>
      <c r="D498" s="140"/>
      <c r="E498" s="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8"/>
      <c r="Q498" s="2"/>
      <c r="T498" s="9"/>
      <c r="U498" s="9"/>
      <c r="V498" s="9"/>
    </row>
    <row r="499" spans="1:22" ht="15.75">
      <c r="A499" s="140"/>
      <c r="B499" s="140"/>
      <c r="C499" s="140"/>
      <c r="D499" s="140"/>
      <c r="E499" s="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8"/>
      <c r="Q499" s="2"/>
      <c r="T499" s="9"/>
      <c r="U499" s="9"/>
      <c r="V499" s="9"/>
    </row>
    <row r="500" spans="1:22" ht="15.75">
      <c r="A500" s="140"/>
      <c r="B500" s="140"/>
      <c r="C500" s="140"/>
      <c r="D500" s="140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8"/>
      <c r="Q500" s="2"/>
      <c r="T500" s="9"/>
      <c r="U500" s="9"/>
      <c r="V500" s="9"/>
    </row>
    <row r="501" spans="1:22" ht="15.75">
      <c r="A501" s="140"/>
      <c r="B501" s="140"/>
      <c r="C501" s="140"/>
      <c r="D501" s="140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8"/>
      <c r="Q501" s="2"/>
      <c r="T501" s="9"/>
      <c r="U501" s="9"/>
      <c r="V501" s="9"/>
    </row>
    <row r="502" spans="1:22" ht="15.75">
      <c r="A502" s="140"/>
      <c r="B502" s="140"/>
      <c r="C502" s="140"/>
      <c r="D502" s="140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8"/>
      <c r="Q502" s="2"/>
      <c r="T502" s="9"/>
      <c r="U502" s="9"/>
      <c r="V502" s="9"/>
    </row>
    <row r="503" spans="1:22" ht="15.75">
      <c r="A503" s="140"/>
      <c r="B503" s="140"/>
      <c r="C503" s="140"/>
      <c r="D503" s="140"/>
      <c r="E503" s="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8"/>
      <c r="Q503" s="2"/>
      <c r="T503" s="9"/>
      <c r="U503" s="9"/>
      <c r="V503" s="9"/>
    </row>
    <row r="504" spans="1:22" ht="15.75">
      <c r="A504" s="140"/>
      <c r="B504" s="140"/>
      <c r="C504" s="140"/>
      <c r="D504" s="140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8"/>
      <c r="Q504" s="2"/>
      <c r="T504" s="9"/>
      <c r="U504" s="9"/>
      <c r="V504" s="9"/>
    </row>
    <row r="505" spans="1:22" ht="15.75">
      <c r="A505" s="140"/>
      <c r="B505" s="140"/>
      <c r="C505" s="140"/>
      <c r="D505" s="140"/>
      <c r="E505" s="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8"/>
      <c r="Q505" s="2"/>
      <c r="T505" s="9"/>
      <c r="U505" s="9"/>
      <c r="V505" s="9"/>
    </row>
    <row r="506" spans="1:22" ht="15.75">
      <c r="A506" s="140"/>
      <c r="B506" s="140"/>
      <c r="C506" s="140"/>
      <c r="D506" s="140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8"/>
      <c r="Q506" s="2"/>
      <c r="T506" s="9"/>
      <c r="U506" s="9"/>
      <c r="V506" s="9"/>
    </row>
    <row r="507" spans="1:22" ht="15.75">
      <c r="A507" s="140"/>
      <c r="B507" s="140"/>
      <c r="C507" s="140"/>
      <c r="D507" s="140"/>
      <c r="E507" s="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8"/>
      <c r="Q507" s="2"/>
      <c r="T507" s="9"/>
      <c r="U507" s="9"/>
      <c r="V507" s="9"/>
    </row>
    <row r="508" spans="1:22" ht="15.75">
      <c r="A508" s="140"/>
      <c r="B508" s="140"/>
      <c r="C508" s="140"/>
      <c r="D508" s="140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8"/>
      <c r="Q508" s="2"/>
      <c r="T508" s="9"/>
      <c r="U508" s="9"/>
      <c r="V508" s="9"/>
    </row>
    <row r="509" spans="1:22" ht="15.75">
      <c r="A509" s="140"/>
      <c r="B509" s="140"/>
      <c r="C509" s="140"/>
      <c r="D509" s="140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8"/>
      <c r="Q509" s="2"/>
      <c r="T509" s="9"/>
      <c r="U509" s="9"/>
      <c r="V509" s="9"/>
    </row>
    <row r="518" spans="1:32" ht="15.75">
      <c r="A518" s="211" t="s">
        <v>132</v>
      </c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</row>
    <row r="519" spans="1:32" ht="15.75">
      <c r="A519" s="211" t="s">
        <v>0</v>
      </c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8"/>
      <c r="Z519" s="8"/>
    </row>
    <row r="520" spans="1:32" ht="15.75">
      <c r="A520" s="129" t="s">
        <v>133</v>
      </c>
      <c r="B520" s="129"/>
      <c r="C520" s="131" t="s">
        <v>334</v>
      </c>
      <c r="D520" s="129"/>
      <c r="E520" s="55" t="s">
        <v>1623</v>
      </c>
      <c r="F520" s="85"/>
      <c r="G520" s="85"/>
      <c r="H520" s="85"/>
      <c r="I520" s="85"/>
      <c r="J520" s="85"/>
      <c r="K520" s="85"/>
      <c r="L520" s="85" t="s">
        <v>1630</v>
      </c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8"/>
      <c r="Z520" s="8"/>
    </row>
    <row r="521" spans="1:32" ht="15.75">
      <c r="A521" s="129" t="s">
        <v>134</v>
      </c>
      <c r="B521" s="129"/>
      <c r="C521" s="131" t="s">
        <v>135</v>
      </c>
      <c r="D521" s="154"/>
      <c r="E521" s="86" t="s">
        <v>1621</v>
      </c>
      <c r="F521" s="84"/>
      <c r="G521" s="84"/>
      <c r="H521" s="84"/>
      <c r="I521" s="84"/>
      <c r="J521" s="84"/>
      <c r="K521" s="84"/>
      <c r="L521" s="84" t="s">
        <v>1631</v>
      </c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23"/>
      <c r="Z521" s="8"/>
    </row>
    <row r="522" spans="1:32" ht="15.75">
      <c r="A522" s="129" t="s">
        <v>645</v>
      </c>
      <c r="B522" s="163"/>
      <c r="C522" s="216" t="s">
        <v>2618</v>
      </c>
      <c r="D522" s="216"/>
      <c r="E522" s="86" t="s">
        <v>1625</v>
      </c>
      <c r="F522" s="84"/>
      <c r="G522" s="84"/>
      <c r="H522" s="84"/>
      <c r="I522" s="84"/>
      <c r="J522" s="84"/>
      <c r="K522" s="84"/>
      <c r="L522" s="84" t="s">
        <v>1631</v>
      </c>
      <c r="Y522" s="14"/>
      <c r="Z522" s="8"/>
    </row>
    <row r="523" spans="1:32" ht="15.75">
      <c r="A523" s="164"/>
      <c r="B523" s="164"/>
      <c r="C523" s="164"/>
      <c r="D523" s="129"/>
      <c r="E523" s="55" t="s">
        <v>1627</v>
      </c>
      <c r="F523" s="85"/>
      <c r="G523" s="84"/>
      <c r="H523" s="85"/>
      <c r="I523" s="85"/>
      <c r="J523" s="85"/>
      <c r="K523" s="85" t="s">
        <v>1617</v>
      </c>
      <c r="L523" s="85" t="s">
        <v>1618</v>
      </c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Z523" s="8"/>
    </row>
    <row r="524" spans="1:32" ht="15.75">
      <c r="A524" s="164"/>
      <c r="B524" s="164"/>
      <c r="C524" s="164"/>
      <c r="D524" s="129"/>
      <c r="E524" s="55"/>
      <c r="F524" s="85"/>
      <c r="G524" s="84"/>
      <c r="H524" s="85"/>
      <c r="I524" s="85"/>
      <c r="J524" s="85"/>
      <c r="K524" s="85"/>
      <c r="L524" s="85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Z524" s="8"/>
    </row>
    <row r="525" spans="1:32" ht="15.75">
      <c r="D525" s="129" t="s">
        <v>1602</v>
      </c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8"/>
    </row>
    <row r="526" spans="1:32" ht="15.75">
      <c r="A526" s="217" t="s">
        <v>1</v>
      </c>
      <c r="B526" s="217" t="s">
        <v>18</v>
      </c>
      <c r="C526" s="217" t="s">
        <v>2</v>
      </c>
      <c r="D526" s="217" t="s">
        <v>137</v>
      </c>
      <c r="E526" s="213" t="s">
        <v>3</v>
      </c>
      <c r="F526" s="208" t="s">
        <v>4</v>
      </c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10"/>
      <c r="V526" s="208" t="s">
        <v>5</v>
      </c>
      <c r="W526" s="209"/>
      <c r="X526" s="210"/>
      <c r="Y526" s="23"/>
      <c r="Z526" s="8"/>
    </row>
    <row r="527" spans="1:32" ht="15.75" thickBot="1">
      <c r="A527" s="218"/>
      <c r="B527" s="218"/>
      <c r="C527" s="218"/>
      <c r="D527" s="218"/>
      <c r="E527" s="214"/>
      <c r="F527" s="25">
        <v>1</v>
      </c>
      <c r="G527" s="25">
        <v>2</v>
      </c>
      <c r="H527" s="25">
        <v>3</v>
      </c>
      <c r="I527" s="25">
        <v>4</v>
      </c>
      <c r="J527" s="25">
        <v>5</v>
      </c>
      <c r="K527" s="25">
        <v>6</v>
      </c>
      <c r="L527" s="25">
        <v>7</v>
      </c>
      <c r="M527" s="25">
        <v>8</v>
      </c>
      <c r="N527" s="25">
        <v>9</v>
      </c>
      <c r="O527" s="25">
        <v>10</v>
      </c>
      <c r="P527" s="25">
        <v>11</v>
      </c>
      <c r="Q527" s="25">
        <v>12</v>
      </c>
      <c r="R527" s="25">
        <v>13</v>
      </c>
      <c r="S527" s="25">
        <v>14</v>
      </c>
      <c r="T527" s="25">
        <v>15</v>
      </c>
      <c r="U527" s="25">
        <v>16</v>
      </c>
      <c r="V527" s="25" t="s">
        <v>6</v>
      </c>
      <c r="W527" s="25" t="s">
        <v>7</v>
      </c>
      <c r="X527" s="25" t="s">
        <v>8</v>
      </c>
    </row>
    <row r="528" spans="1:32" ht="15.75">
      <c r="A528" s="219"/>
      <c r="B528" s="219"/>
      <c r="C528" s="219"/>
      <c r="D528" s="219"/>
      <c r="E528" s="49" t="s">
        <v>394</v>
      </c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9"/>
      <c r="Z528" s="9"/>
      <c r="AA528" s="26" t="s">
        <v>393</v>
      </c>
      <c r="AB528" s="27"/>
      <c r="AC528" s="27"/>
      <c r="AD528" s="28"/>
      <c r="AE528" s="28"/>
      <c r="AF528" s="29"/>
    </row>
    <row r="529" spans="1:32" ht="15.75">
      <c r="A529" s="115">
        <v>1</v>
      </c>
      <c r="B529" s="107" t="s">
        <v>1050</v>
      </c>
      <c r="C529" s="107">
        <v>252619102001</v>
      </c>
      <c r="D529" s="108" t="s">
        <v>646</v>
      </c>
      <c r="E529" s="67" t="s">
        <v>9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9"/>
      <c r="Z529" s="9"/>
      <c r="AA529" s="31"/>
      <c r="AB529" s="32"/>
      <c r="AC529" s="32"/>
      <c r="AD529" s="33"/>
      <c r="AE529" s="33"/>
      <c r="AF529" s="34"/>
    </row>
    <row r="530" spans="1:32" ht="15.75">
      <c r="A530" s="115">
        <v>2</v>
      </c>
      <c r="B530" s="107" t="s">
        <v>1051</v>
      </c>
      <c r="C530" s="107">
        <v>252619102002</v>
      </c>
      <c r="D530" s="108" t="s">
        <v>647</v>
      </c>
      <c r="E530" s="67" t="s">
        <v>9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9"/>
      <c r="Z530" s="9"/>
      <c r="AA530" s="31" t="s">
        <v>342</v>
      </c>
      <c r="AB530" s="32"/>
      <c r="AC530" s="32"/>
      <c r="AD530" s="33"/>
      <c r="AE530" s="33"/>
      <c r="AF530" s="34"/>
    </row>
    <row r="531" spans="1:32" ht="15.75">
      <c r="A531" s="115">
        <v>3</v>
      </c>
      <c r="B531" s="107" t="s">
        <v>1052</v>
      </c>
      <c r="C531" s="107">
        <v>252619102003</v>
      </c>
      <c r="D531" s="108" t="s">
        <v>649</v>
      </c>
      <c r="E531" s="67" t="s">
        <v>9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9"/>
      <c r="Z531" s="9"/>
      <c r="AA531" s="31" t="s">
        <v>648</v>
      </c>
      <c r="AB531" s="32"/>
      <c r="AC531" s="32"/>
      <c r="AD531" s="33"/>
      <c r="AE531" s="33"/>
      <c r="AF531" s="34"/>
    </row>
    <row r="532" spans="1:32" ht="16.5" thickBot="1">
      <c r="A532" s="115">
        <v>4</v>
      </c>
      <c r="B532" s="107" t="s">
        <v>1053</v>
      </c>
      <c r="C532" s="107">
        <v>252619102004</v>
      </c>
      <c r="D532" s="108" t="s">
        <v>650</v>
      </c>
      <c r="E532" s="67" t="s">
        <v>15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9"/>
      <c r="Z532" s="9"/>
      <c r="AA532" s="35" t="s">
        <v>140</v>
      </c>
      <c r="AB532" s="36"/>
      <c r="AC532" s="36"/>
      <c r="AD532" s="37"/>
      <c r="AE532" s="37"/>
      <c r="AF532" s="38"/>
    </row>
    <row r="533" spans="1:32" ht="15.75">
      <c r="A533" s="115">
        <v>5</v>
      </c>
      <c r="B533" s="107" t="s">
        <v>1054</v>
      </c>
      <c r="C533" s="107">
        <v>252619102005</v>
      </c>
      <c r="D533" s="108" t="s">
        <v>651</v>
      </c>
      <c r="E533" s="67" t="s">
        <v>15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9"/>
      <c r="Z533" s="9"/>
      <c r="AA533" s="15"/>
      <c r="AB533" s="15"/>
      <c r="AC533" s="15"/>
    </row>
    <row r="534" spans="1:32" ht="15.75">
      <c r="A534" s="115">
        <v>6</v>
      </c>
      <c r="B534" s="107" t="s">
        <v>1055</v>
      </c>
      <c r="C534" s="107">
        <v>252619102006</v>
      </c>
      <c r="D534" s="108" t="s">
        <v>652</v>
      </c>
      <c r="E534" s="67" t="s">
        <v>15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9"/>
      <c r="Z534" s="9"/>
      <c r="AA534" s="15"/>
      <c r="AB534" s="15"/>
      <c r="AC534" s="15"/>
    </row>
    <row r="535" spans="1:32" ht="15.75">
      <c r="A535" s="115">
        <v>7</v>
      </c>
      <c r="B535" s="107" t="s">
        <v>1056</v>
      </c>
      <c r="C535" s="107">
        <v>252619102007</v>
      </c>
      <c r="D535" s="108" t="s">
        <v>653</v>
      </c>
      <c r="E535" s="67" t="s">
        <v>9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9"/>
      <c r="Z535" s="9"/>
      <c r="AE535" s="10"/>
    </row>
    <row r="536" spans="1:32" ht="15.75">
      <c r="A536" s="115">
        <v>8</v>
      </c>
      <c r="B536" s="107" t="s">
        <v>1057</v>
      </c>
      <c r="C536" s="107">
        <v>252619102008</v>
      </c>
      <c r="D536" s="108" t="s">
        <v>654</v>
      </c>
      <c r="E536" s="67" t="s">
        <v>9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9"/>
      <c r="Z536" s="9"/>
    </row>
    <row r="537" spans="1:32" ht="15.75">
      <c r="A537" s="115">
        <v>9</v>
      </c>
      <c r="B537" s="107" t="s">
        <v>1058</v>
      </c>
      <c r="C537" s="107">
        <v>252619102009</v>
      </c>
      <c r="D537" s="108" t="s">
        <v>655</v>
      </c>
      <c r="E537" s="67" t="s">
        <v>9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9"/>
      <c r="Z537" s="9"/>
    </row>
    <row r="538" spans="1:32" ht="15.75">
      <c r="A538" s="115">
        <v>10</v>
      </c>
      <c r="B538" s="107" t="s">
        <v>1059</v>
      </c>
      <c r="C538" s="107">
        <v>252619102010</v>
      </c>
      <c r="D538" s="108" t="s">
        <v>656</v>
      </c>
      <c r="E538" s="67" t="s">
        <v>9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9"/>
      <c r="Z538" s="9"/>
      <c r="AD538" s="10"/>
    </row>
    <row r="539" spans="1:32" ht="15.75">
      <c r="A539" s="115">
        <v>11</v>
      </c>
      <c r="B539" s="107" t="s">
        <v>1060</v>
      </c>
      <c r="C539" s="107">
        <v>252619102011</v>
      </c>
      <c r="D539" s="108" t="s">
        <v>657</v>
      </c>
      <c r="E539" s="67" t="s">
        <v>15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9"/>
      <c r="Z539" s="9"/>
    </row>
    <row r="540" spans="1:32" ht="15.75">
      <c r="A540" s="115">
        <v>12</v>
      </c>
      <c r="B540" s="107" t="s">
        <v>1061</v>
      </c>
      <c r="C540" s="107">
        <v>252619102012</v>
      </c>
      <c r="D540" s="108" t="s">
        <v>658</v>
      </c>
      <c r="E540" s="67" t="s">
        <v>9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9"/>
      <c r="Z540" s="9"/>
    </row>
    <row r="541" spans="1:32" ht="15.75">
      <c r="A541" s="115">
        <v>13</v>
      </c>
      <c r="B541" s="107" t="s">
        <v>1062</v>
      </c>
      <c r="C541" s="107">
        <v>252619102013</v>
      </c>
      <c r="D541" s="108" t="s">
        <v>659</v>
      </c>
      <c r="E541" s="67" t="s">
        <v>15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9"/>
      <c r="Z541" s="9"/>
    </row>
    <row r="542" spans="1:32" ht="15.75">
      <c r="A542" s="115">
        <v>14</v>
      </c>
      <c r="B542" s="107" t="s">
        <v>1063</v>
      </c>
      <c r="C542" s="107">
        <v>252619102015</v>
      </c>
      <c r="D542" s="108" t="s">
        <v>660</v>
      </c>
      <c r="E542" s="67" t="s">
        <v>9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9"/>
      <c r="Z542" s="9"/>
    </row>
    <row r="543" spans="1:32" ht="15.75">
      <c r="A543" s="115">
        <v>15</v>
      </c>
      <c r="B543" s="107" t="s">
        <v>1064</v>
      </c>
      <c r="C543" s="107">
        <v>252619102016</v>
      </c>
      <c r="D543" s="108" t="s">
        <v>661</v>
      </c>
      <c r="E543" s="67" t="s">
        <v>15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9"/>
      <c r="Z543" s="9"/>
    </row>
    <row r="544" spans="1:32" ht="15.75">
      <c r="A544" s="115">
        <v>16</v>
      </c>
      <c r="B544" s="107" t="s">
        <v>1065</v>
      </c>
      <c r="C544" s="107">
        <v>252619102017</v>
      </c>
      <c r="D544" s="108" t="s">
        <v>662</v>
      </c>
      <c r="E544" s="67" t="s">
        <v>15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9"/>
      <c r="Z544" s="9"/>
    </row>
    <row r="545" spans="1:30" ht="15.75">
      <c r="A545" s="115">
        <v>17</v>
      </c>
      <c r="B545" s="107" t="s">
        <v>1066</v>
      </c>
      <c r="C545" s="107">
        <v>252619102018</v>
      </c>
      <c r="D545" s="108" t="s">
        <v>663</v>
      </c>
      <c r="E545" s="67" t="s">
        <v>15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9"/>
      <c r="Z545" s="9"/>
      <c r="AD545" s="10"/>
    </row>
    <row r="546" spans="1:30" ht="15.75">
      <c r="A546" s="115">
        <v>18</v>
      </c>
      <c r="B546" s="107" t="s">
        <v>1067</v>
      </c>
      <c r="C546" s="107">
        <v>252619102019</v>
      </c>
      <c r="D546" s="108" t="s">
        <v>664</v>
      </c>
      <c r="E546" s="67" t="s">
        <v>9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9"/>
      <c r="Z546" s="9"/>
    </row>
    <row r="547" spans="1:30" ht="15.75">
      <c r="A547" s="115">
        <v>19</v>
      </c>
      <c r="B547" s="107" t="s">
        <v>1068</v>
      </c>
      <c r="C547" s="107">
        <v>252619102020</v>
      </c>
      <c r="D547" s="108" t="s">
        <v>665</v>
      </c>
      <c r="E547" s="67" t="s">
        <v>9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9"/>
      <c r="Z547" s="9"/>
    </row>
    <row r="548" spans="1:30" ht="15.75">
      <c r="A548" s="115">
        <v>20</v>
      </c>
      <c r="B548" s="107" t="s">
        <v>1069</v>
      </c>
      <c r="C548" s="107">
        <v>252619102021</v>
      </c>
      <c r="D548" s="108" t="s">
        <v>666</v>
      </c>
      <c r="E548" s="67" t="s">
        <v>9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9"/>
      <c r="Z548" s="9"/>
    </row>
    <row r="549" spans="1:30" ht="15.75">
      <c r="A549" s="115">
        <v>21</v>
      </c>
      <c r="B549" s="107" t="s">
        <v>1070</v>
      </c>
      <c r="C549" s="107">
        <v>252619102022</v>
      </c>
      <c r="D549" s="108" t="s">
        <v>667</v>
      </c>
      <c r="E549" s="67" t="s">
        <v>15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9"/>
      <c r="Z549" s="9"/>
    </row>
    <row r="550" spans="1:30" ht="15.75">
      <c r="A550" s="115">
        <v>22</v>
      </c>
      <c r="B550" s="107" t="s">
        <v>1071</v>
      </c>
      <c r="C550" s="107">
        <v>252619102023</v>
      </c>
      <c r="D550" s="108" t="s">
        <v>668</v>
      </c>
      <c r="E550" s="67" t="s">
        <v>15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9"/>
      <c r="Z550" s="9"/>
    </row>
    <row r="551" spans="1:30" ht="15.75">
      <c r="A551" s="115">
        <v>23</v>
      </c>
      <c r="B551" s="107" t="s">
        <v>1072</v>
      </c>
      <c r="C551" s="107">
        <v>252619102024</v>
      </c>
      <c r="D551" s="108" t="s">
        <v>669</v>
      </c>
      <c r="E551" s="67" t="s">
        <v>15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9"/>
      <c r="Z551" s="9"/>
    </row>
    <row r="552" spans="1:30" s="98" customFormat="1" ht="15.75">
      <c r="A552" s="115">
        <v>24</v>
      </c>
      <c r="B552" s="165" t="s">
        <v>1073</v>
      </c>
      <c r="C552" s="165">
        <v>252619102025</v>
      </c>
      <c r="D552" s="166" t="s">
        <v>670</v>
      </c>
      <c r="E552" s="95" t="s">
        <v>9</v>
      </c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7"/>
      <c r="Z552" s="97"/>
    </row>
    <row r="553" spans="1:30" s="102" customFormat="1" ht="15.75">
      <c r="A553" s="115">
        <v>25</v>
      </c>
      <c r="B553" s="167" t="s">
        <v>1074</v>
      </c>
      <c r="C553" s="167">
        <v>252619102026</v>
      </c>
      <c r="D553" s="168" t="s">
        <v>671</v>
      </c>
      <c r="E553" s="99" t="s">
        <v>9</v>
      </c>
      <c r="F553" s="100"/>
      <c r="G553" s="172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1"/>
      <c r="Z553" s="101"/>
    </row>
    <row r="554" spans="1:30" ht="15.75">
      <c r="A554" s="115">
        <v>26</v>
      </c>
      <c r="B554" s="107" t="s">
        <v>1075</v>
      </c>
      <c r="C554" s="107">
        <v>252619102027</v>
      </c>
      <c r="D554" s="108" t="s">
        <v>672</v>
      </c>
      <c r="E554" s="67" t="s">
        <v>15</v>
      </c>
      <c r="F554" s="6"/>
      <c r="G554" s="17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9"/>
      <c r="Z554" s="9"/>
    </row>
    <row r="555" spans="1:30" ht="15.75">
      <c r="A555" s="115">
        <v>27</v>
      </c>
      <c r="B555" s="107" t="s">
        <v>1076</v>
      </c>
      <c r="C555" s="107">
        <v>252619102028</v>
      </c>
      <c r="D555" s="108" t="s">
        <v>673</v>
      </c>
      <c r="E555" s="67" t="s">
        <v>15</v>
      </c>
      <c r="F555" s="6"/>
      <c r="G555" s="17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9"/>
      <c r="Z555" s="9"/>
    </row>
    <row r="556" spans="1:30" ht="15.75">
      <c r="A556" s="115">
        <v>28</v>
      </c>
      <c r="B556" s="107" t="s">
        <v>1077</v>
      </c>
      <c r="C556" s="107">
        <v>252619102029</v>
      </c>
      <c r="D556" s="108" t="s">
        <v>674</v>
      </c>
      <c r="E556" s="67" t="s">
        <v>9</v>
      </c>
      <c r="F556" s="6"/>
      <c r="G556" s="17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9"/>
      <c r="Z556" s="9"/>
    </row>
    <row r="557" spans="1:30" ht="15.75">
      <c r="A557" s="115">
        <v>29</v>
      </c>
      <c r="B557" s="107" t="s">
        <v>1078</v>
      </c>
      <c r="C557" s="107">
        <v>252619102031</v>
      </c>
      <c r="D557" s="108" t="s">
        <v>675</v>
      </c>
      <c r="E557" s="67" t="s">
        <v>15</v>
      </c>
      <c r="F557" s="4"/>
      <c r="G557" s="172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9"/>
      <c r="Z557" s="9"/>
    </row>
    <row r="558" spans="1:30">
      <c r="A558" s="115">
        <v>30</v>
      </c>
      <c r="B558" s="107" t="s">
        <v>1079</v>
      </c>
      <c r="C558" s="107">
        <v>252619102032</v>
      </c>
      <c r="D558" s="108" t="s">
        <v>676</v>
      </c>
      <c r="E558" s="67" t="s">
        <v>15</v>
      </c>
      <c r="F558" s="4"/>
      <c r="G558" s="17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30">
      <c r="A559" s="115">
        <v>31</v>
      </c>
      <c r="B559" s="107" t="s">
        <v>1080</v>
      </c>
      <c r="C559" s="107">
        <v>252619102033</v>
      </c>
      <c r="D559" s="108" t="s">
        <v>677</v>
      </c>
      <c r="E559" s="67" t="s">
        <v>15</v>
      </c>
      <c r="F559" s="4"/>
      <c r="G559" s="172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30">
      <c r="A560" s="115">
        <v>32</v>
      </c>
      <c r="B560" s="107" t="s">
        <v>1081</v>
      </c>
      <c r="C560" s="107">
        <v>252619102034</v>
      </c>
      <c r="D560" s="108" t="s">
        <v>678</v>
      </c>
      <c r="E560" s="67" t="s">
        <v>15</v>
      </c>
      <c r="F560" s="4"/>
      <c r="G560" s="172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5">
      <c r="A561" s="115">
        <v>33</v>
      </c>
      <c r="B561" s="107" t="s">
        <v>1082</v>
      </c>
      <c r="C561" s="107">
        <v>252619102035</v>
      </c>
      <c r="D561" s="108" t="s">
        <v>679</v>
      </c>
      <c r="E561" s="67" t="s">
        <v>15</v>
      </c>
      <c r="F561" s="4"/>
      <c r="G561" s="172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5">
      <c r="A562" s="115">
        <v>34</v>
      </c>
      <c r="B562" s="107" t="s">
        <v>1083</v>
      </c>
      <c r="C562" s="107">
        <v>252619102037</v>
      </c>
      <c r="D562" s="108" t="s">
        <v>680</v>
      </c>
      <c r="E562" s="67" t="s">
        <v>15</v>
      </c>
      <c r="F562" s="4"/>
      <c r="G562" s="17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5">
      <c r="A563" s="115">
        <v>35</v>
      </c>
      <c r="B563" s="107" t="s">
        <v>1084</v>
      </c>
      <c r="C563" s="107">
        <v>252619102038</v>
      </c>
      <c r="D563" s="108" t="s">
        <v>681</v>
      </c>
      <c r="E563" s="67" t="s">
        <v>9</v>
      </c>
      <c r="F563" s="4"/>
      <c r="G563" s="17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5">
      <c r="A564" s="162"/>
      <c r="B564" s="136"/>
      <c r="C564" s="136"/>
      <c r="D564" s="137"/>
      <c r="E564" s="78"/>
    </row>
    <row r="565" spans="1:25">
      <c r="A565" s="138"/>
      <c r="B565" s="138"/>
      <c r="C565" s="138"/>
      <c r="G565" s="7"/>
      <c r="H565" s="7"/>
    </row>
    <row r="566" spans="1:25">
      <c r="A566" s="138"/>
      <c r="B566" s="138"/>
      <c r="C566" s="138"/>
      <c r="D566" s="173" t="s">
        <v>10</v>
      </c>
      <c r="E566" s="123">
        <f>COUNTIF(E529:E563,"L")</f>
        <v>16</v>
      </c>
      <c r="G566" s="2"/>
    </row>
    <row r="567" spans="1:25">
      <c r="A567" s="138"/>
      <c r="B567" s="138"/>
      <c r="C567" s="138"/>
      <c r="D567" s="174" t="s">
        <v>11</v>
      </c>
      <c r="E567" s="123">
        <f>COUNTIF(E529:E563,"P")</f>
        <v>19</v>
      </c>
      <c r="G567" s="2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1"/>
      <c r="S567" s="2"/>
      <c r="T567" s="2"/>
      <c r="U567" s="2"/>
      <c r="V567" s="2"/>
      <c r="W567" s="2"/>
      <c r="X567" s="3"/>
    </row>
    <row r="568" spans="1:25">
      <c r="D568" s="173" t="s">
        <v>864</v>
      </c>
      <c r="E568" s="175">
        <f>SUM(E566:E567)</f>
        <v>35</v>
      </c>
      <c r="U568" s="2"/>
      <c r="V568" s="2"/>
      <c r="W568" s="2"/>
      <c r="X568" s="3"/>
      <c r="Y568" s="2"/>
    </row>
    <row r="569" spans="1:25">
      <c r="U569" s="2"/>
      <c r="V569" s="2"/>
      <c r="W569" s="2"/>
      <c r="X569" s="3"/>
      <c r="Y569" s="2"/>
    </row>
    <row r="570" spans="1:25">
      <c r="A570" s="139" t="s">
        <v>12</v>
      </c>
      <c r="B570" s="139"/>
      <c r="C570" s="139"/>
      <c r="D570" s="139"/>
      <c r="E570" s="1"/>
      <c r="F570" s="2"/>
      <c r="G570" s="2"/>
      <c r="H570" s="2"/>
      <c r="I570" s="3"/>
      <c r="J570" s="3"/>
      <c r="K570" s="3"/>
      <c r="L570" s="3"/>
      <c r="M570" s="3"/>
      <c r="N570" s="3"/>
      <c r="O570" s="3"/>
      <c r="P570" s="1" t="s">
        <v>1605</v>
      </c>
      <c r="Q570" s="2"/>
      <c r="T570" s="2"/>
      <c r="U570" s="2"/>
      <c r="V570" s="2"/>
      <c r="W570" s="2"/>
      <c r="X570" s="3"/>
      <c r="Y570" s="2"/>
    </row>
    <row r="571" spans="1:25">
      <c r="A571" s="139" t="s">
        <v>13</v>
      </c>
      <c r="B571" s="139"/>
      <c r="C571" s="139"/>
      <c r="D571" s="139"/>
      <c r="E571" s="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" t="s">
        <v>14</v>
      </c>
      <c r="Q571" s="3"/>
      <c r="S571" s="2"/>
      <c r="T571" s="2"/>
      <c r="U571" s="2"/>
      <c r="V571" s="2"/>
      <c r="W571" s="2"/>
      <c r="X571" s="2"/>
      <c r="Y571" s="2"/>
    </row>
    <row r="572" spans="1:25" ht="15.75">
      <c r="A572" s="139"/>
      <c r="B572" s="139"/>
      <c r="C572" s="139"/>
      <c r="D572" s="139"/>
      <c r="E572" s="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"/>
      <c r="Q572" s="3"/>
      <c r="S572" s="2"/>
      <c r="T572" s="2"/>
      <c r="U572" s="9"/>
      <c r="V572" s="9"/>
      <c r="W572" s="9"/>
      <c r="X572" s="9"/>
      <c r="Y572" s="2"/>
    </row>
    <row r="573" spans="1:25" ht="15.75">
      <c r="A573" s="139"/>
      <c r="B573" s="139"/>
      <c r="C573" s="139"/>
      <c r="D573" s="139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S573" s="2"/>
      <c r="T573" s="2"/>
      <c r="U573" s="9"/>
      <c r="V573" s="9"/>
      <c r="Y573" s="9"/>
    </row>
    <row r="574" spans="1:25" ht="15.75">
      <c r="A574" s="140" t="s">
        <v>854</v>
      </c>
      <c r="B574" s="140"/>
      <c r="C574" s="140"/>
      <c r="D574" s="140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8" t="s">
        <v>16</v>
      </c>
      <c r="Q574" s="8"/>
      <c r="S574" s="2"/>
      <c r="T574" s="9"/>
      <c r="U574" s="9"/>
      <c r="V574" s="9"/>
    </row>
    <row r="575" spans="1:25" ht="15.75">
      <c r="A575" s="140" t="s">
        <v>855</v>
      </c>
      <c r="B575" s="140"/>
      <c r="C575" s="140"/>
      <c r="D575" s="140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8" t="s">
        <v>17</v>
      </c>
      <c r="Q575" s="2"/>
      <c r="T575" s="9"/>
      <c r="U575" s="9"/>
      <c r="V575" s="9"/>
    </row>
    <row r="576" spans="1:25" ht="15.75">
      <c r="A576" s="140"/>
      <c r="B576" s="140"/>
      <c r="C576" s="140"/>
      <c r="D576" s="140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8"/>
      <c r="Q576" s="2"/>
      <c r="T576" s="9"/>
      <c r="U576" s="9"/>
      <c r="V576" s="9"/>
    </row>
    <row r="577" spans="1:22" ht="15.75">
      <c r="A577" s="140"/>
      <c r="B577" s="140"/>
      <c r="C577" s="140"/>
      <c r="D577" s="140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8"/>
      <c r="Q577" s="2"/>
      <c r="T577" s="9"/>
      <c r="U577" s="9"/>
      <c r="V577" s="9"/>
    </row>
    <row r="578" spans="1:22" ht="15.75">
      <c r="A578" s="140"/>
      <c r="B578" s="140"/>
      <c r="C578" s="140"/>
      <c r="D578" s="140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8"/>
      <c r="Q578" s="2"/>
      <c r="T578" s="9"/>
      <c r="U578" s="9"/>
      <c r="V578" s="9"/>
    </row>
    <row r="579" spans="1:22" ht="15.75">
      <c r="A579" s="140"/>
      <c r="B579" s="140"/>
      <c r="C579" s="140"/>
      <c r="D579" s="140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8"/>
      <c r="Q579" s="2"/>
      <c r="T579" s="9"/>
      <c r="U579" s="9"/>
      <c r="V579" s="9"/>
    </row>
    <row r="580" spans="1:22" ht="15.75">
      <c r="A580" s="140"/>
      <c r="B580" s="140"/>
      <c r="C580" s="140"/>
      <c r="D580" s="140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8"/>
      <c r="Q580" s="2"/>
      <c r="T580" s="9"/>
      <c r="U580" s="9"/>
      <c r="V580" s="9"/>
    </row>
    <row r="581" spans="1:22" ht="15.75">
      <c r="A581" s="140"/>
      <c r="B581" s="140"/>
      <c r="C581" s="140"/>
      <c r="D581" s="140"/>
      <c r="E581" s="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8"/>
      <c r="Q581" s="2"/>
      <c r="T581" s="9"/>
      <c r="U581" s="9"/>
      <c r="V581" s="9"/>
    </row>
    <row r="582" spans="1:22" ht="15.75">
      <c r="A582" s="140"/>
      <c r="B582" s="140"/>
      <c r="C582" s="140"/>
      <c r="D582" s="140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8"/>
      <c r="Q582" s="2"/>
      <c r="T582" s="9"/>
      <c r="U582" s="9"/>
      <c r="V582" s="9"/>
    </row>
    <row r="583" spans="1:22" ht="15.75">
      <c r="A583" s="140"/>
      <c r="B583" s="140"/>
      <c r="C583" s="140"/>
      <c r="D583" s="140"/>
      <c r="E583" s="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8"/>
      <c r="Q583" s="2"/>
      <c r="T583" s="9"/>
      <c r="U583" s="9"/>
      <c r="V583" s="9"/>
    </row>
    <row r="584" spans="1:22" ht="15.75">
      <c r="A584" s="140"/>
      <c r="B584" s="140"/>
      <c r="C584" s="140"/>
      <c r="D584" s="140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8"/>
      <c r="Q584" s="2"/>
      <c r="T584" s="9"/>
      <c r="U584" s="9"/>
      <c r="V584" s="9"/>
    </row>
    <row r="585" spans="1:22" ht="15.75">
      <c r="A585" s="140"/>
      <c r="B585" s="140"/>
      <c r="C585" s="140"/>
      <c r="D585" s="140"/>
      <c r="E585" s="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8"/>
      <c r="Q585" s="2"/>
      <c r="T585" s="9"/>
      <c r="U585" s="9"/>
      <c r="V585" s="9"/>
    </row>
    <row r="586" spans="1:22" ht="15.75">
      <c r="A586" s="140"/>
      <c r="B586" s="140"/>
      <c r="C586" s="140"/>
      <c r="D586" s="140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8"/>
      <c r="Q586" s="2"/>
      <c r="T586" s="9"/>
      <c r="U586" s="9"/>
      <c r="V586" s="9"/>
    </row>
    <row r="587" spans="1:22" ht="15.75">
      <c r="A587" s="140"/>
      <c r="B587" s="140"/>
      <c r="C587" s="140"/>
      <c r="D587" s="140"/>
      <c r="E587" s="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8"/>
      <c r="Q587" s="2"/>
      <c r="T587" s="9"/>
      <c r="U587" s="9"/>
      <c r="V587" s="9"/>
    </row>
    <row r="588" spans="1:22" ht="15.75">
      <c r="A588" s="140"/>
      <c r="B588" s="140"/>
      <c r="C588" s="140"/>
      <c r="D588" s="140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8"/>
      <c r="Q588" s="2"/>
      <c r="T588" s="9"/>
      <c r="U588" s="9"/>
      <c r="V588" s="9"/>
    </row>
    <row r="589" spans="1:22" ht="15.75">
      <c r="A589" s="140"/>
      <c r="B589" s="140"/>
      <c r="C589" s="140"/>
      <c r="D589" s="140"/>
      <c r="E589" s="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8"/>
      <c r="Q589" s="2"/>
      <c r="T589" s="9"/>
      <c r="U589" s="9"/>
      <c r="V589" s="9"/>
    </row>
    <row r="590" spans="1:22" ht="15.75">
      <c r="A590" s="140"/>
      <c r="B590" s="140"/>
      <c r="C590" s="140"/>
      <c r="D590" s="140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8"/>
      <c r="Q590" s="2"/>
      <c r="T590" s="9"/>
      <c r="U590" s="9"/>
      <c r="V590" s="9"/>
    </row>
    <row r="591" spans="1:22" ht="15.75">
      <c r="A591" s="140"/>
      <c r="B591" s="140"/>
      <c r="C591" s="140"/>
      <c r="D591" s="140"/>
      <c r="E591" s="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8"/>
      <c r="Q591" s="2"/>
      <c r="T591" s="9"/>
      <c r="U591" s="9"/>
      <c r="V591" s="9"/>
    </row>
    <row r="602" spans="1:26" ht="15.75">
      <c r="A602" s="211" t="s">
        <v>132</v>
      </c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</row>
    <row r="603" spans="1:26" ht="15.75">
      <c r="A603" s="211" t="s">
        <v>0</v>
      </c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</row>
    <row r="605" spans="1:26" ht="15.75">
      <c r="A605" s="129" t="s">
        <v>133</v>
      </c>
      <c r="B605" s="129"/>
      <c r="C605" s="131" t="s">
        <v>335</v>
      </c>
      <c r="D605" s="129"/>
      <c r="E605" s="55" t="s">
        <v>1623</v>
      </c>
      <c r="F605" s="85"/>
      <c r="G605" s="85"/>
      <c r="H605" s="85"/>
      <c r="I605" s="85"/>
      <c r="J605" s="85"/>
      <c r="K605" s="85"/>
      <c r="L605" s="85" t="s">
        <v>1630</v>
      </c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8"/>
    </row>
    <row r="606" spans="1:26" ht="15.75">
      <c r="A606" s="129" t="s">
        <v>134</v>
      </c>
      <c r="B606" s="129"/>
      <c r="C606" s="131" t="s">
        <v>135</v>
      </c>
      <c r="D606" s="154"/>
      <c r="E606" s="86" t="s">
        <v>1621</v>
      </c>
      <c r="F606" s="84"/>
      <c r="G606" s="84"/>
      <c r="H606" s="84"/>
      <c r="I606" s="84"/>
      <c r="J606" s="84"/>
      <c r="K606" s="84"/>
      <c r="L606" s="84" t="s">
        <v>1631</v>
      </c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8"/>
    </row>
    <row r="607" spans="1:26">
      <c r="A607" s="129" t="s">
        <v>136</v>
      </c>
      <c r="B607" s="129"/>
      <c r="C607" s="131" t="s">
        <v>135</v>
      </c>
      <c r="D607" s="154"/>
      <c r="E607" s="86" t="s">
        <v>1625</v>
      </c>
      <c r="F607" s="84"/>
      <c r="G607" s="84"/>
      <c r="H607" s="84"/>
      <c r="I607" s="84"/>
      <c r="J607" s="84"/>
      <c r="K607" s="84"/>
      <c r="L607" s="84" t="s">
        <v>1631</v>
      </c>
      <c r="Y607" s="23"/>
    </row>
    <row r="608" spans="1:26">
      <c r="A608" s="132"/>
      <c r="B608" s="132"/>
      <c r="C608" s="132"/>
      <c r="D608" s="129"/>
      <c r="E608" s="55" t="s">
        <v>1627</v>
      </c>
      <c r="F608" s="85"/>
      <c r="G608" s="84"/>
      <c r="H608" s="85"/>
      <c r="I608" s="85"/>
      <c r="J608" s="85"/>
      <c r="K608" s="85" t="s">
        <v>1617</v>
      </c>
      <c r="L608" s="85" t="s">
        <v>1618</v>
      </c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14"/>
    </row>
    <row r="610" spans="1:32">
      <c r="D610" s="129" t="s">
        <v>1603</v>
      </c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32">
      <c r="A611" s="217" t="s">
        <v>1</v>
      </c>
      <c r="B611" s="217" t="s">
        <v>18</v>
      </c>
      <c r="C611" s="217" t="s">
        <v>2</v>
      </c>
      <c r="D611" s="217" t="s">
        <v>137</v>
      </c>
      <c r="E611" s="213" t="s">
        <v>3</v>
      </c>
      <c r="F611" s="208" t="s">
        <v>4</v>
      </c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10"/>
      <c r="V611" s="208" t="s">
        <v>5</v>
      </c>
      <c r="W611" s="209"/>
      <c r="X611" s="210"/>
      <c r="Y611" s="23"/>
    </row>
    <row r="612" spans="1:32">
      <c r="A612" s="218"/>
      <c r="B612" s="218"/>
      <c r="C612" s="218"/>
      <c r="D612" s="218"/>
      <c r="E612" s="214"/>
      <c r="F612" s="17">
        <v>1</v>
      </c>
      <c r="G612" s="17">
        <v>2</v>
      </c>
      <c r="H612" s="17">
        <v>3</v>
      </c>
      <c r="I612" s="17">
        <v>4</v>
      </c>
      <c r="J612" s="17">
        <v>5</v>
      </c>
      <c r="K612" s="17">
        <v>6</v>
      </c>
      <c r="L612" s="17">
        <v>7</v>
      </c>
      <c r="M612" s="17">
        <v>8</v>
      </c>
      <c r="N612" s="17">
        <v>9</v>
      </c>
      <c r="O612" s="17">
        <v>10</v>
      </c>
      <c r="P612" s="17">
        <v>11</v>
      </c>
      <c r="Q612" s="17">
        <v>12</v>
      </c>
      <c r="R612" s="17">
        <v>13</v>
      </c>
      <c r="S612" s="17">
        <v>14</v>
      </c>
      <c r="T612" s="17">
        <v>15</v>
      </c>
      <c r="U612" s="17">
        <v>16</v>
      </c>
      <c r="V612" s="17" t="s">
        <v>6</v>
      </c>
      <c r="W612" s="17" t="s">
        <v>7</v>
      </c>
      <c r="X612" s="17" t="s">
        <v>8</v>
      </c>
    </row>
    <row r="613" spans="1:32" ht="15.75">
      <c r="A613" s="219"/>
      <c r="B613" s="219"/>
      <c r="C613" s="219"/>
      <c r="D613" s="219"/>
      <c r="E613" s="49" t="s">
        <v>394</v>
      </c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9"/>
    </row>
    <row r="614" spans="1:32" ht="15.75">
      <c r="A614" s="115">
        <v>1</v>
      </c>
      <c r="B614" s="107" t="s">
        <v>1085</v>
      </c>
      <c r="C614" s="107">
        <v>252619102039</v>
      </c>
      <c r="D614" s="108" t="s">
        <v>682</v>
      </c>
      <c r="E614" s="67" t="s">
        <v>9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9"/>
    </row>
    <row r="615" spans="1:32" ht="15.75">
      <c r="A615" s="115">
        <v>2</v>
      </c>
      <c r="B615" s="107" t="s">
        <v>1086</v>
      </c>
      <c r="C615" s="107">
        <v>252619102039</v>
      </c>
      <c r="D615" s="108" t="s">
        <v>683</v>
      </c>
      <c r="E615" s="67" t="s">
        <v>15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9"/>
      <c r="AB615" s="60"/>
    </row>
    <row r="616" spans="1:32" ht="15.75">
      <c r="A616" s="115">
        <v>3</v>
      </c>
      <c r="B616" s="107" t="s">
        <v>1087</v>
      </c>
      <c r="C616" s="107">
        <v>252619102039</v>
      </c>
      <c r="D616" s="108" t="s">
        <v>684</v>
      </c>
      <c r="E616" s="67" t="s">
        <v>15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9"/>
    </row>
    <row r="617" spans="1:32" ht="15.75">
      <c r="A617" s="115">
        <v>4</v>
      </c>
      <c r="B617" s="107" t="s">
        <v>1088</v>
      </c>
      <c r="C617" s="107">
        <v>252619102039</v>
      </c>
      <c r="D617" s="108" t="s">
        <v>685</v>
      </c>
      <c r="E617" s="67" t="s">
        <v>9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9"/>
    </row>
    <row r="618" spans="1:32" ht="15.75">
      <c r="A618" s="115">
        <v>5</v>
      </c>
      <c r="B618" s="107" t="s">
        <v>1089</v>
      </c>
      <c r="C618" s="107">
        <v>252619102039</v>
      </c>
      <c r="D618" s="108" t="s">
        <v>686</v>
      </c>
      <c r="E618" s="67" t="s">
        <v>15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9"/>
    </row>
    <row r="619" spans="1:32" ht="16.5" thickBot="1">
      <c r="A619" s="115">
        <v>6</v>
      </c>
      <c r="B619" s="107" t="s">
        <v>1090</v>
      </c>
      <c r="C619" s="107">
        <v>252619102039</v>
      </c>
      <c r="D619" s="108" t="s">
        <v>687</v>
      </c>
      <c r="E619" s="67" t="s">
        <v>9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9"/>
    </row>
    <row r="620" spans="1:32" ht="15.75">
      <c r="A620" s="115">
        <v>7</v>
      </c>
      <c r="B620" s="107" t="s">
        <v>1091</v>
      </c>
      <c r="C620" s="107">
        <v>252619102039</v>
      </c>
      <c r="D620" s="108" t="s">
        <v>688</v>
      </c>
      <c r="E620" s="67" t="s">
        <v>9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9"/>
      <c r="AA620" s="26" t="s">
        <v>393</v>
      </c>
      <c r="AB620" s="27"/>
      <c r="AC620" s="27"/>
      <c r="AD620" s="28"/>
      <c r="AE620" s="28"/>
      <c r="AF620" s="29"/>
    </row>
    <row r="621" spans="1:32" ht="15.75">
      <c r="A621" s="115">
        <v>8</v>
      </c>
      <c r="B621" s="107" t="s">
        <v>1092</v>
      </c>
      <c r="C621" s="107">
        <v>252619102039</v>
      </c>
      <c r="D621" s="108" t="s">
        <v>689</v>
      </c>
      <c r="E621" s="67" t="s">
        <v>15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9"/>
      <c r="AA621" s="31" t="s">
        <v>342</v>
      </c>
      <c r="AB621" s="32"/>
      <c r="AC621" s="32"/>
      <c r="AD621" s="33"/>
      <c r="AE621" s="33"/>
      <c r="AF621" s="34"/>
    </row>
    <row r="622" spans="1:32" ht="15.75">
      <c r="A622" s="115">
        <v>9</v>
      </c>
      <c r="B622" s="107" t="s">
        <v>1093</v>
      </c>
      <c r="C622" s="107">
        <v>252619102039</v>
      </c>
      <c r="D622" s="108" t="s">
        <v>690</v>
      </c>
      <c r="E622" s="67" t="s">
        <v>15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9"/>
      <c r="AA622" s="31" t="s">
        <v>648</v>
      </c>
      <c r="AB622" s="32"/>
      <c r="AC622" s="32"/>
      <c r="AD622" s="33"/>
      <c r="AE622" s="33"/>
      <c r="AF622" s="34"/>
    </row>
    <row r="623" spans="1:32" ht="16.5" thickBot="1">
      <c r="A623" s="115">
        <v>10</v>
      </c>
      <c r="B623" s="107" t="s">
        <v>1094</v>
      </c>
      <c r="C623" s="107">
        <v>252619102039</v>
      </c>
      <c r="D623" s="108" t="s">
        <v>691</v>
      </c>
      <c r="E623" s="67" t="s">
        <v>9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9"/>
      <c r="AA623" s="35" t="s">
        <v>140</v>
      </c>
      <c r="AB623" s="36"/>
      <c r="AC623" s="36"/>
      <c r="AD623" s="37"/>
      <c r="AE623" s="37"/>
      <c r="AF623" s="38"/>
    </row>
    <row r="624" spans="1:32" ht="15.75">
      <c r="A624" s="115">
        <v>11</v>
      </c>
      <c r="B624" s="107" t="s">
        <v>1095</v>
      </c>
      <c r="C624" s="107">
        <v>252619102039</v>
      </c>
      <c r="D624" s="108" t="s">
        <v>692</v>
      </c>
      <c r="E624" s="67" t="s">
        <v>9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9"/>
    </row>
    <row r="625" spans="1:31" ht="15.75">
      <c r="A625" s="115">
        <v>12</v>
      </c>
      <c r="B625" s="107" t="s">
        <v>1096</v>
      </c>
      <c r="C625" s="107">
        <v>252619102039</v>
      </c>
      <c r="D625" s="108" t="s">
        <v>693</v>
      </c>
      <c r="E625" s="67" t="s">
        <v>15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9"/>
    </row>
    <row r="626" spans="1:31" ht="15.75">
      <c r="A626" s="115">
        <v>13</v>
      </c>
      <c r="B626" s="107" t="s">
        <v>1097</v>
      </c>
      <c r="C626" s="107">
        <v>252619102039</v>
      </c>
      <c r="D626" s="108" t="s">
        <v>694</v>
      </c>
      <c r="E626" s="67" t="s">
        <v>15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9"/>
    </row>
    <row r="627" spans="1:31" ht="15.75">
      <c r="A627" s="115">
        <v>14</v>
      </c>
      <c r="B627" s="107" t="s">
        <v>1098</v>
      </c>
      <c r="C627" s="107">
        <v>252619102039</v>
      </c>
      <c r="D627" s="108" t="s">
        <v>695</v>
      </c>
      <c r="E627" s="67" t="s">
        <v>15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9"/>
      <c r="AE627" s="10"/>
    </row>
    <row r="628" spans="1:31" ht="15.75">
      <c r="A628" s="115">
        <v>15</v>
      </c>
      <c r="B628" s="107" t="s">
        <v>1099</v>
      </c>
      <c r="C628" s="107">
        <v>252619102039</v>
      </c>
      <c r="D628" s="108" t="s">
        <v>696</v>
      </c>
      <c r="E628" s="67" t="s">
        <v>9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9"/>
    </row>
    <row r="629" spans="1:31" ht="15.75">
      <c r="A629" s="115">
        <v>16</v>
      </c>
      <c r="B629" s="107" t="s">
        <v>1100</v>
      </c>
      <c r="C629" s="107">
        <v>252619102039</v>
      </c>
      <c r="D629" s="108" t="s">
        <v>697</v>
      </c>
      <c r="E629" s="67" t="s">
        <v>9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9"/>
    </row>
    <row r="630" spans="1:31" ht="15.75">
      <c r="A630" s="115">
        <v>17</v>
      </c>
      <c r="B630" s="107" t="s">
        <v>1101</v>
      </c>
      <c r="C630" s="107">
        <v>252619102039</v>
      </c>
      <c r="D630" s="108" t="s">
        <v>698</v>
      </c>
      <c r="E630" s="67" t="s">
        <v>15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9"/>
      <c r="AC630" s="10"/>
    </row>
    <row r="631" spans="1:31" ht="15.75">
      <c r="A631" s="115">
        <v>18</v>
      </c>
      <c r="B631" s="107" t="s">
        <v>1102</v>
      </c>
      <c r="C631" s="107">
        <v>252619102039</v>
      </c>
      <c r="D631" s="108" t="s">
        <v>699</v>
      </c>
      <c r="E631" s="67" t="s">
        <v>9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9"/>
    </row>
    <row r="632" spans="1:31" ht="15.75">
      <c r="A632" s="115">
        <v>19</v>
      </c>
      <c r="B632" s="107" t="s">
        <v>1103</v>
      </c>
      <c r="C632" s="107">
        <v>252619102039</v>
      </c>
      <c r="D632" s="108" t="s">
        <v>700</v>
      </c>
      <c r="E632" s="67" t="s">
        <v>15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9"/>
    </row>
    <row r="633" spans="1:31" ht="15.75">
      <c r="A633" s="115">
        <v>20</v>
      </c>
      <c r="B633" s="107" t="s">
        <v>1104</v>
      </c>
      <c r="C633" s="107">
        <v>252619102039</v>
      </c>
      <c r="D633" s="108" t="s">
        <v>701</v>
      </c>
      <c r="E633" s="67" t="s">
        <v>9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9"/>
    </row>
    <row r="634" spans="1:31" ht="15.75">
      <c r="A634" s="115">
        <v>21</v>
      </c>
      <c r="B634" s="107" t="s">
        <v>1105</v>
      </c>
      <c r="C634" s="107">
        <v>252619102039</v>
      </c>
      <c r="D634" s="108" t="s">
        <v>702</v>
      </c>
      <c r="E634" s="67" t="s">
        <v>9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9"/>
    </row>
    <row r="635" spans="1:31" ht="15.75">
      <c r="A635" s="115">
        <v>22</v>
      </c>
      <c r="B635" s="107" t="s">
        <v>1106</v>
      </c>
      <c r="C635" s="107">
        <v>252619102039</v>
      </c>
      <c r="D635" s="108" t="s">
        <v>703</v>
      </c>
      <c r="E635" s="67" t="s">
        <v>15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9"/>
    </row>
    <row r="636" spans="1:31" ht="15.75">
      <c r="A636" s="115">
        <v>23</v>
      </c>
      <c r="B636" s="107" t="s">
        <v>1107</v>
      </c>
      <c r="C636" s="107">
        <v>252619102039</v>
      </c>
      <c r="D636" s="108" t="s">
        <v>704</v>
      </c>
      <c r="E636" s="67" t="s">
        <v>9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9"/>
    </row>
    <row r="637" spans="1:31" ht="15.75">
      <c r="A637" s="115">
        <v>24</v>
      </c>
      <c r="B637" s="107" t="s">
        <v>1108</v>
      </c>
      <c r="C637" s="107">
        <v>252619102039</v>
      </c>
      <c r="D637" s="108" t="s">
        <v>705</v>
      </c>
      <c r="E637" s="67" t="s">
        <v>15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9"/>
    </row>
    <row r="638" spans="1:31" ht="15.75">
      <c r="A638" s="115">
        <v>25</v>
      </c>
      <c r="B638" s="107" t="s">
        <v>1109</v>
      </c>
      <c r="C638" s="107">
        <v>252619102039</v>
      </c>
      <c r="D638" s="108" t="s">
        <v>706</v>
      </c>
      <c r="E638" s="67" t="s">
        <v>9</v>
      </c>
      <c r="F638" s="6"/>
      <c r="G638" s="11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9"/>
      <c r="AE638" s="10"/>
    </row>
    <row r="639" spans="1:31" ht="15.75">
      <c r="A639" s="115">
        <v>26</v>
      </c>
      <c r="B639" s="107" t="s">
        <v>1110</v>
      </c>
      <c r="C639" s="107">
        <v>252619102039</v>
      </c>
      <c r="D639" s="108" t="s">
        <v>707</v>
      </c>
      <c r="E639" s="67" t="s">
        <v>15</v>
      </c>
      <c r="F639" s="6"/>
      <c r="G639" s="11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9"/>
    </row>
    <row r="640" spans="1:31" ht="15.75">
      <c r="A640" s="115">
        <v>27</v>
      </c>
      <c r="B640" s="107" t="s">
        <v>1111</v>
      </c>
      <c r="C640" s="107">
        <v>252619102039</v>
      </c>
      <c r="D640" s="108" t="s">
        <v>708</v>
      </c>
      <c r="E640" s="67" t="s">
        <v>15</v>
      </c>
      <c r="F640" s="4"/>
      <c r="G640" s="11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9"/>
      <c r="AD640" s="10"/>
    </row>
    <row r="641" spans="1:25">
      <c r="A641" s="115">
        <v>28</v>
      </c>
      <c r="B641" s="107" t="s">
        <v>1112</v>
      </c>
      <c r="C641" s="107">
        <v>252619102039</v>
      </c>
      <c r="D641" s="108" t="s">
        <v>709</v>
      </c>
      <c r="E641" s="67" t="s">
        <v>15</v>
      </c>
      <c r="F641" s="4"/>
      <c r="G641" s="11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5">
      <c r="A642" s="115">
        <v>29</v>
      </c>
      <c r="B642" s="107" t="s">
        <v>1113</v>
      </c>
      <c r="C642" s="107">
        <v>252619102039</v>
      </c>
      <c r="D642" s="108" t="s">
        <v>710</v>
      </c>
      <c r="E642" s="67" t="s">
        <v>9</v>
      </c>
      <c r="F642" s="4"/>
      <c r="G642" s="11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5">
      <c r="A643" s="115">
        <v>30</v>
      </c>
      <c r="B643" s="107" t="s">
        <v>1114</v>
      </c>
      <c r="C643" s="107">
        <v>252619102039</v>
      </c>
      <c r="D643" s="108" t="s">
        <v>711</v>
      </c>
      <c r="E643" s="67" t="s">
        <v>15</v>
      </c>
      <c r="F643" s="4"/>
      <c r="G643" s="11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5">
      <c r="A644" s="115">
        <v>31</v>
      </c>
      <c r="B644" s="107" t="s">
        <v>1115</v>
      </c>
      <c r="C644" s="107">
        <v>252619102039</v>
      </c>
      <c r="D644" s="108" t="s">
        <v>712</v>
      </c>
      <c r="E644" s="67" t="s">
        <v>15</v>
      </c>
      <c r="F644" s="4"/>
      <c r="G644" s="11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5">
      <c r="A645" s="115">
        <v>32</v>
      </c>
      <c r="B645" s="107" t="s">
        <v>1116</v>
      </c>
      <c r="C645" s="107">
        <v>252619102039</v>
      </c>
      <c r="D645" s="108" t="s">
        <v>713</v>
      </c>
      <c r="E645" s="67" t="s">
        <v>15</v>
      </c>
      <c r="F645" s="4"/>
      <c r="G645" s="11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5">
      <c r="A646" s="115">
        <v>33</v>
      </c>
      <c r="B646" s="107" t="s">
        <v>1117</v>
      </c>
      <c r="C646" s="107">
        <v>252619102039</v>
      </c>
      <c r="D646" s="108" t="s">
        <v>714</v>
      </c>
      <c r="E646" s="67" t="s">
        <v>15</v>
      </c>
      <c r="F646" s="4"/>
      <c r="G646" s="11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5">
      <c r="A647" s="115">
        <v>34</v>
      </c>
      <c r="B647" s="107" t="s">
        <v>1118</v>
      </c>
      <c r="C647" s="107">
        <v>252619102039</v>
      </c>
      <c r="D647" s="108" t="s">
        <v>715</v>
      </c>
      <c r="E647" s="67" t="s">
        <v>9</v>
      </c>
      <c r="F647" s="4"/>
      <c r="G647" s="11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5">
      <c r="A648" s="115">
        <v>35</v>
      </c>
      <c r="B648" s="107" t="s">
        <v>1119</v>
      </c>
      <c r="C648" s="107">
        <v>252619102039</v>
      </c>
      <c r="D648" s="108" t="s">
        <v>716</v>
      </c>
      <c r="E648" s="67" t="s">
        <v>15</v>
      </c>
      <c r="F648" s="4"/>
      <c r="G648" s="118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5">
      <c r="A649" s="162"/>
      <c r="B649" s="136"/>
      <c r="C649" s="136"/>
      <c r="D649" s="137"/>
      <c r="E649" s="114"/>
      <c r="G649" s="7"/>
      <c r="H649" s="7"/>
    </row>
    <row r="650" spans="1:25">
      <c r="A650" s="138"/>
      <c r="B650" s="138"/>
      <c r="C650" s="138"/>
      <c r="G650" s="7"/>
      <c r="H650" s="7"/>
    </row>
    <row r="651" spans="1:25">
      <c r="A651" s="138"/>
      <c r="B651" s="138"/>
      <c r="C651" s="138"/>
      <c r="D651" s="176" t="s">
        <v>10</v>
      </c>
      <c r="E651" s="123">
        <f>COUNTIF(E614:E648,"L")</f>
        <v>15</v>
      </c>
      <c r="G651" s="2"/>
    </row>
    <row r="652" spans="1:25">
      <c r="A652" s="138"/>
      <c r="B652" s="138"/>
      <c r="C652" s="138"/>
      <c r="D652" s="176" t="s">
        <v>11</v>
      </c>
      <c r="E652" s="89">
        <f>COUNTIF(E614:E648,"P")</f>
        <v>20</v>
      </c>
      <c r="G652" s="2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1"/>
      <c r="S652" s="2"/>
      <c r="T652" s="2"/>
      <c r="U652" s="2"/>
      <c r="V652" s="2"/>
      <c r="W652" s="2"/>
      <c r="X652" s="3"/>
    </row>
    <row r="653" spans="1:25">
      <c r="D653" s="180" t="s">
        <v>864</v>
      </c>
      <c r="E653" s="202">
        <f>SUM(E651:E652)</f>
        <v>35</v>
      </c>
      <c r="V653" s="2"/>
      <c r="W653" s="2"/>
      <c r="X653" s="3"/>
      <c r="Y653" s="2"/>
    </row>
    <row r="654" spans="1:25">
      <c r="V654" s="2"/>
      <c r="W654" s="2"/>
      <c r="X654" s="3"/>
      <c r="Y654" s="2"/>
    </row>
    <row r="655" spans="1:25">
      <c r="A655" s="139" t="s">
        <v>12</v>
      </c>
      <c r="B655" s="139"/>
      <c r="C655" s="139"/>
      <c r="D655" s="139"/>
      <c r="E655" s="1"/>
      <c r="F655" s="2"/>
      <c r="G655" s="2"/>
      <c r="H655" s="2"/>
      <c r="I655" s="3"/>
      <c r="J655" s="3"/>
      <c r="K655" s="3"/>
      <c r="L655" s="3"/>
      <c r="M655" s="3"/>
      <c r="N655" s="3"/>
      <c r="O655" s="3"/>
      <c r="P655" s="1" t="s">
        <v>1605</v>
      </c>
      <c r="Q655" s="2"/>
      <c r="R655" s="16" t="s">
        <v>865</v>
      </c>
      <c r="T655" s="2"/>
      <c r="U655" s="2"/>
      <c r="V655" s="2"/>
      <c r="W655" s="2"/>
      <c r="X655" s="3"/>
      <c r="Y655" s="2"/>
    </row>
    <row r="656" spans="1:25">
      <c r="A656" s="139" t="s">
        <v>13</v>
      </c>
      <c r="B656" s="139"/>
      <c r="C656" s="139"/>
      <c r="D656" s="139"/>
      <c r="E656" s="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1" t="s">
        <v>14</v>
      </c>
      <c r="Q656" s="3"/>
      <c r="S656" s="2"/>
      <c r="T656" s="2"/>
      <c r="U656" s="2"/>
      <c r="V656" s="2"/>
      <c r="W656" s="2"/>
      <c r="X656" s="2"/>
      <c r="Y656" s="2"/>
    </row>
    <row r="657" spans="1:25" ht="15.75">
      <c r="A657" s="139"/>
      <c r="B657" s="139"/>
      <c r="C657" s="139"/>
      <c r="D657" s="139"/>
      <c r="E657" s="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1"/>
      <c r="Q657" s="3"/>
      <c r="S657" s="2"/>
      <c r="T657" s="2"/>
      <c r="U657" s="2"/>
      <c r="V657" s="9"/>
      <c r="W657" s="9"/>
      <c r="X657" s="9"/>
      <c r="Y657" s="2"/>
    </row>
    <row r="658" spans="1:25" ht="15.75">
      <c r="A658" s="139"/>
      <c r="B658" s="139"/>
      <c r="C658" s="139"/>
      <c r="D658" s="139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S658" s="2"/>
      <c r="T658" s="2"/>
      <c r="U658" s="2"/>
      <c r="V658" s="9"/>
      <c r="Y658" s="9"/>
    </row>
    <row r="659" spans="1:25" ht="15.75">
      <c r="A659" s="140" t="s">
        <v>854</v>
      </c>
      <c r="B659" s="140"/>
      <c r="C659" s="140"/>
      <c r="D659" s="140"/>
      <c r="E659" s="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8" t="s">
        <v>16</v>
      </c>
      <c r="Q659" s="8"/>
      <c r="S659" s="2"/>
      <c r="T659" s="9"/>
      <c r="U659" s="9"/>
    </row>
    <row r="660" spans="1:25" ht="15.75">
      <c r="A660" s="140" t="s">
        <v>855</v>
      </c>
      <c r="B660" s="140"/>
      <c r="C660" s="140"/>
      <c r="D660" s="140"/>
      <c r="E660" s="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8" t="s">
        <v>17</v>
      </c>
      <c r="Q660" s="2"/>
      <c r="T660" s="9"/>
      <c r="U660" s="9"/>
    </row>
    <row r="688" spans="1:24" ht="15.75">
      <c r="A688" s="211" t="s">
        <v>132</v>
      </c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</row>
    <row r="689" spans="1:32" ht="15.75">
      <c r="A689" s="211" t="s">
        <v>0</v>
      </c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8"/>
    </row>
    <row r="690" spans="1:32" ht="15.75">
      <c r="A690" s="152"/>
      <c r="B690" s="152"/>
      <c r="C690" s="152"/>
      <c r="D690" s="152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8"/>
    </row>
    <row r="691" spans="1:32" ht="15.75">
      <c r="A691" s="127" t="s">
        <v>133</v>
      </c>
      <c r="B691" s="129"/>
      <c r="C691" s="131" t="s">
        <v>336</v>
      </c>
      <c r="D691" s="129"/>
      <c r="E691" s="55" t="s">
        <v>1623</v>
      </c>
      <c r="F691" s="85"/>
      <c r="G691" s="85"/>
      <c r="H691" s="85"/>
      <c r="I691" s="85"/>
      <c r="J691" s="85"/>
      <c r="K691" s="85"/>
      <c r="L691" s="85" t="s">
        <v>1630</v>
      </c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8"/>
    </row>
    <row r="692" spans="1:32">
      <c r="A692" s="129" t="s">
        <v>134</v>
      </c>
      <c r="B692" s="129"/>
      <c r="C692" s="131" t="s">
        <v>135</v>
      </c>
      <c r="D692" s="154"/>
      <c r="E692" s="86" t="s">
        <v>1621</v>
      </c>
      <c r="F692" s="84"/>
      <c r="G692" s="84"/>
      <c r="H692" s="84"/>
      <c r="I692" s="84"/>
      <c r="J692" s="84"/>
      <c r="K692" s="84"/>
      <c r="L692" s="84" t="s">
        <v>1631</v>
      </c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23"/>
    </row>
    <row r="693" spans="1:32" ht="15.75">
      <c r="A693" s="127" t="s">
        <v>136</v>
      </c>
      <c r="B693" s="129"/>
      <c r="C693" s="131" t="s">
        <v>21</v>
      </c>
      <c r="D693" s="154"/>
      <c r="E693" s="86" t="s">
        <v>1625</v>
      </c>
      <c r="F693" s="84"/>
      <c r="G693" s="84"/>
      <c r="H693" s="84"/>
      <c r="I693" s="84"/>
      <c r="J693" s="84"/>
      <c r="K693" s="84"/>
      <c r="L693" s="84" t="s">
        <v>1631</v>
      </c>
      <c r="Y693" s="14"/>
    </row>
    <row r="694" spans="1:32" ht="15.75">
      <c r="A694" s="127"/>
      <c r="B694" s="127"/>
      <c r="C694" s="128"/>
      <c r="D694" s="154"/>
      <c r="E694" s="55" t="s">
        <v>1627</v>
      </c>
      <c r="F694" s="85"/>
      <c r="G694" s="84"/>
      <c r="H694" s="85"/>
      <c r="I694" s="85"/>
      <c r="J694" s="85"/>
      <c r="K694" s="85" t="s">
        <v>1617</v>
      </c>
      <c r="L694" s="85" t="s">
        <v>1618</v>
      </c>
      <c r="Y694" s="14"/>
    </row>
    <row r="695" spans="1:32">
      <c r="A695" s="132"/>
      <c r="B695" s="132"/>
      <c r="C695" s="132"/>
      <c r="D695" s="129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 spans="1:32">
      <c r="D696" s="129" t="s">
        <v>1604</v>
      </c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32">
      <c r="A697" s="217" t="s">
        <v>1</v>
      </c>
      <c r="B697" s="217" t="s">
        <v>18</v>
      </c>
      <c r="C697" s="217" t="s">
        <v>2</v>
      </c>
      <c r="D697" s="217" t="s">
        <v>137</v>
      </c>
      <c r="E697" s="213" t="s">
        <v>3</v>
      </c>
      <c r="F697" s="208" t="s">
        <v>4</v>
      </c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10"/>
      <c r="V697" s="208" t="s">
        <v>5</v>
      </c>
      <c r="W697" s="209"/>
      <c r="X697" s="210"/>
      <c r="Y697" s="23"/>
    </row>
    <row r="698" spans="1:32">
      <c r="A698" s="218"/>
      <c r="B698" s="218"/>
      <c r="C698" s="218"/>
      <c r="D698" s="218"/>
      <c r="E698" s="214"/>
      <c r="F698" s="25">
        <v>1</v>
      </c>
      <c r="G698" s="25">
        <v>2</v>
      </c>
      <c r="H698" s="25">
        <v>3</v>
      </c>
      <c r="I698" s="25">
        <v>4</v>
      </c>
      <c r="J698" s="25">
        <v>5</v>
      </c>
      <c r="K698" s="25">
        <v>6</v>
      </c>
      <c r="L698" s="25">
        <v>7</v>
      </c>
      <c r="M698" s="25">
        <v>8</v>
      </c>
      <c r="N698" s="25">
        <v>9</v>
      </c>
      <c r="O698" s="25">
        <v>10</v>
      </c>
      <c r="P698" s="25">
        <v>11</v>
      </c>
      <c r="Q698" s="25">
        <v>12</v>
      </c>
      <c r="R698" s="25">
        <v>13</v>
      </c>
      <c r="S698" s="25">
        <v>14</v>
      </c>
      <c r="T698" s="25">
        <v>15</v>
      </c>
      <c r="U698" s="25">
        <v>16</v>
      </c>
      <c r="V698" s="25" t="s">
        <v>6</v>
      </c>
      <c r="W698" s="25" t="s">
        <v>7</v>
      </c>
      <c r="X698" s="25" t="s">
        <v>8</v>
      </c>
    </row>
    <row r="699" spans="1:32" ht="15.75">
      <c r="A699" s="219"/>
      <c r="B699" s="219"/>
      <c r="C699" s="219"/>
      <c r="D699" s="219"/>
      <c r="E699" s="49" t="s">
        <v>394</v>
      </c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9"/>
    </row>
    <row r="700" spans="1:32" ht="15.75">
      <c r="A700" s="115">
        <v>1</v>
      </c>
      <c r="B700" s="107" t="s">
        <v>1120</v>
      </c>
      <c r="C700" s="107">
        <v>252619102078</v>
      </c>
      <c r="D700" s="108" t="s">
        <v>717</v>
      </c>
      <c r="E700" s="67" t="s">
        <v>9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9"/>
    </row>
    <row r="701" spans="1:32" ht="15.75">
      <c r="A701" s="115">
        <v>2</v>
      </c>
      <c r="B701" s="107" t="s">
        <v>1121</v>
      </c>
      <c r="C701" s="107">
        <v>252619102079</v>
      </c>
      <c r="D701" s="108" t="s">
        <v>718</v>
      </c>
      <c r="E701" s="67" t="s">
        <v>9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9"/>
    </row>
    <row r="702" spans="1:32" ht="16.5" thickBot="1">
      <c r="A702" s="115">
        <v>3</v>
      </c>
      <c r="B702" s="107" t="s">
        <v>1122</v>
      </c>
      <c r="C702" s="107">
        <v>252619102080</v>
      </c>
      <c r="D702" s="108" t="s">
        <v>719</v>
      </c>
      <c r="E702" s="67" t="s">
        <v>9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9"/>
    </row>
    <row r="703" spans="1:32" ht="15.75">
      <c r="A703" s="115">
        <v>4</v>
      </c>
      <c r="B703" s="107" t="s">
        <v>1123</v>
      </c>
      <c r="C703" s="107">
        <v>252619102081</v>
      </c>
      <c r="D703" s="108" t="s">
        <v>720</v>
      </c>
      <c r="E703" s="67" t="s">
        <v>15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9"/>
      <c r="AA703" s="26" t="s">
        <v>393</v>
      </c>
      <c r="AB703" s="27"/>
      <c r="AC703" s="27"/>
      <c r="AD703" s="28"/>
      <c r="AE703" s="28"/>
      <c r="AF703" s="29"/>
    </row>
    <row r="704" spans="1:32" ht="15.75">
      <c r="A704" s="115">
        <v>5</v>
      </c>
      <c r="B704" s="107" t="s">
        <v>1124</v>
      </c>
      <c r="C704" s="107">
        <v>252619102082</v>
      </c>
      <c r="D704" s="108" t="s">
        <v>721</v>
      </c>
      <c r="E704" s="67" t="s">
        <v>15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9"/>
      <c r="AA704" s="31" t="s">
        <v>342</v>
      </c>
      <c r="AB704" s="32"/>
      <c r="AC704" s="32"/>
      <c r="AD704" s="33"/>
      <c r="AE704" s="33"/>
      <c r="AF704" s="34"/>
    </row>
    <row r="705" spans="1:32" ht="15.75">
      <c r="A705" s="115">
        <v>6</v>
      </c>
      <c r="B705" s="107" t="s">
        <v>1125</v>
      </c>
      <c r="C705" s="107">
        <v>252619102083</v>
      </c>
      <c r="D705" s="108" t="s">
        <v>722</v>
      </c>
      <c r="E705" s="67" t="s">
        <v>9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9"/>
      <c r="AA705" s="31" t="s">
        <v>648</v>
      </c>
      <c r="AB705" s="32"/>
      <c r="AC705" s="32"/>
      <c r="AD705" s="33"/>
      <c r="AE705" s="33"/>
      <c r="AF705" s="34"/>
    </row>
    <row r="706" spans="1:32" ht="16.5" thickBot="1">
      <c r="A706" s="115">
        <v>7</v>
      </c>
      <c r="B706" s="107" t="s">
        <v>1126</v>
      </c>
      <c r="C706" s="107">
        <v>252619102084</v>
      </c>
      <c r="D706" s="108" t="s">
        <v>723</v>
      </c>
      <c r="E706" s="67" t="s">
        <v>15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9"/>
      <c r="AA706" s="35" t="s">
        <v>140</v>
      </c>
      <c r="AB706" s="36"/>
      <c r="AC706" s="36"/>
      <c r="AD706" s="37"/>
      <c r="AE706" s="37"/>
      <c r="AF706" s="38"/>
    </row>
    <row r="707" spans="1:32" ht="15.75">
      <c r="A707" s="115">
        <v>8</v>
      </c>
      <c r="B707" s="107" t="s">
        <v>1127</v>
      </c>
      <c r="C707" s="107">
        <v>252619102085</v>
      </c>
      <c r="D707" s="108" t="s">
        <v>724</v>
      </c>
      <c r="E707" s="67" t="s">
        <v>15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9"/>
    </row>
    <row r="708" spans="1:32" ht="15.75">
      <c r="A708" s="115">
        <v>9</v>
      </c>
      <c r="B708" s="107" t="s">
        <v>1128</v>
      </c>
      <c r="C708" s="107">
        <v>252619102086</v>
      </c>
      <c r="D708" s="108" t="s">
        <v>725</v>
      </c>
      <c r="E708" s="67" t="s">
        <v>15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9"/>
    </row>
    <row r="709" spans="1:32" ht="15.75">
      <c r="A709" s="115">
        <v>10</v>
      </c>
      <c r="B709" s="107" t="s">
        <v>1129</v>
      </c>
      <c r="C709" s="107">
        <v>252619102087</v>
      </c>
      <c r="D709" s="108" t="s">
        <v>726</v>
      </c>
      <c r="E709" s="67" t="s">
        <v>9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9"/>
    </row>
    <row r="710" spans="1:32" ht="15.75">
      <c r="A710" s="115">
        <v>11</v>
      </c>
      <c r="B710" s="107" t="s">
        <v>1130</v>
      </c>
      <c r="C710" s="107">
        <v>252619102088</v>
      </c>
      <c r="D710" s="108" t="s">
        <v>727</v>
      </c>
      <c r="E710" s="67" t="s">
        <v>15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9"/>
    </row>
    <row r="711" spans="1:32" ht="15.75">
      <c r="A711" s="115">
        <v>12</v>
      </c>
      <c r="B711" s="107" t="s">
        <v>1131</v>
      </c>
      <c r="C711" s="107">
        <v>252619102089</v>
      </c>
      <c r="D711" s="108" t="s">
        <v>728</v>
      </c>
      <c r="E711" s="67" t="s">
        <v>9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9"/>
    </row>
    <row r="712" spans="1:32" ht="15.75">
      <c r="A712" s="115">
        <v>13</v>
      </c>
      <c r="B712" s="107" t="s">
        <v>1132</v>
      </c>
      <c r="C712" s="107">
        <v>252619102090</v>
      </c>
      <c r="D712" s="108" t="s">
        <v>729</v>
      </c>
      <c r="E712" s="67" t="s">
        <v>9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9"/>
    </row>
    <row r="713" spans="1:32" ht="15.75">
      <c r="A713" s="115">
        <v>14</v>
      </c>
      <c r="B713" s="107" t="s">
        <v>1133</v>
      </c>
      <c r="C713" s="107">
        <v>252619102091</v>
      </c>
      <c r="D713" s="108" t="s">
        <v>730</v>
      </c>
      <c r="E713" s="67" t="s">
        <v>15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9"/>
    </row>
    <row r="714" spans="1:32" ht="15" customHeight="1">
      <c r="A714" s="115">
        <v>15</v>
      </c>
      <c r="B714" s="107" t="s">
        <v>1134</v>
      </c>
      <c r="C714" s="107">
        <v>252619102093</v>
      </c>
      <c r="D714" s="108" t="s">
        <v>731</v>
      </c>
      <c r="E714" s="67" t="s">
        <v>15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9"/>
      <c r="AD714" s="10"/>
    </row>
    <row r="715" spans="1:32" ht="15.75">
      <c r="A715" s="115">
        <v>16</v>
      </c>
      <c r="B715" s="107" t="s">
        <v>1135</v>
      </c>
      <c r="C715" s="107">
        <v>252619102094</v>
      </c>
      <c r="D715" s="108" t="s">
        <v>732</v>
      </c>
      <c r="E715" s="67" t="s">
        <v>15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9"/>
      <c r="AA715" s="52"/>
    </row>
    <row r="716" spans="1:32" ht="15.75">
      <c r="A716" s="115">
        <v>17</v>
      </c>
      <c r="B716" s="107" t="s">
        <v>1136</v>
      </c>
      <c r="C716" s="107">
        <v>252619102095</v>
      </c>
      <c r="D716" s="108" t="s">
        <v>733</v>
      </c>
      <c r="E716" s="67" t="s">
        <v>9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9"/>
    </row>
    <row r="717" spans="1:32" ht="15.75">
      <c r="A717" s="115">
        <v>18</v>
      </c>
      <c r="B717" s="107" t="s">
        <v>1137</v>
      </c>
      <c r="C717" s="107">
        <v>252619102096</v>
      </c>
      <c r="D717" s="108" t="s">
        <v>734</v>
      </c>
      <c r="E717" s="67" t="s">
        <v>15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9"/>
    </row>
    <row r="718" spans="1:32" ht="15.75">
      <c r="A718" s="115">
        <v>19</v>
      </c>
      <c r="B718" s="107" t="s">
        <v>1138</v>
      </c>
      <c r="C718" s="107">
        <v>252619102097</v>
      </c>
      <c r="D718" s="108" t="s">
        <v>735</v>
      </c>
      <c r="E718" s="67" t="s">
        <v>15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9"/>
    </row>
    <row r="719" spans="1:32" ht="15.75">
      <c r="A719" s="115">
        <v>20</v>
      </c>
      <c r="B719" s="107" t="s">
        <v>1139</v>
      </c>
      <c r="C719" s="107">
        <v>252619102098</v>
      </c>
      <c r="D719" s="108" t="s">
        <v>736</v>
      </c>
      <c r="E719" s="67" t="s">
        <v>9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9"/>
    </row>
    <row r="720" spans="1:32" ht="15.75">
      <c r="A720" s="115">
        <v>21</v>
      </c>
      <c r="B720" s="107" t="s">
        <v>1140</v>
      </c>
      <c r="C720" s="107">
        <v>252619102099</v>
      </c>
      <c r="D720" s="108" t="s">
        <v>737</v>
      </c>
      <c r="E720" s="67" t="s">
        <v>9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9"/>
    </row>
    <row r="721" spans="1:30" ht="15.75">
      <c r="A721" s="115">
        <v>22</v>
      </c>
      <c r="B721" s="107" t="s">
        <v>1141</v>
      </c>
      <c r="C721" s="107">
        <v>252619102100</v>
      </c>
      <c r="D721" s="108" t="s">
        <v>738</v>
      </c>
      <c r="E721" s="67" t="s">
        <v>9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9"/>
    </row>
    <row r="722" spans="1:30" ht="15.75">
      <c r="A722" s="115">
        <v>23</v>
      </c>
      <c r="B722" s="107" t="s">
        <v>1142</v>
      </c>
      <c r="C722" s="107">
        <v>252619102101</v>
      </c>
      <c r="D722" s="108" t="s">
        <v>739</v>
      </c>
      <c r="E722" s="67" t="s">
        <v>9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9"/>
      <c r="AB722" s="61"/>
    </row>
    <row r="723" spans="1:30" ht="15.75">
      <c r="A723" s="115">
        <v>24</v>
      </c>
      <c r="B723" s="107" t="s">
        <v>1143</v>
      </c>
      <c r="C723" s="107">
        <v>252619102102</v>
      </c>
      <c r="D723" s="108" t="s">
        <v>740</v>
      </c>
      <c r="E723" s="67" t="s">
        <v>15</v>
      </c>
      <c r="F723" s="118"/>
      <c r="G723" s="11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9"/>
    </row>
    <row r="724" spans="1:30" ht="15.75">
      <c r="A724" s="115">
        <v>25</v>
      </c>
      <c r="B724" s="107" t="s">
        <v>1144</v>
      </c>
      <c r="C724" s="107">
        <v>252619102103</v>
      </c>
      <c r="D724" s="108" t="s">
        <v>741</v>
      </c>
      <c r="E724" s="67" t="s">
        <v>15</v>
      </c>
      <c r="F724" s="118"/>
      <c r="G724" s="11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9"/>
    </row>
    <row r="725" spans="1:30" ht="15.75">
      <c r="A725" s="115">
        <v>26</v>
      </c>
      <c r="B725" s="107" t="s">
        <v>1145</v>
      </c>
      <c r="C725" s="107">
        <v>252619102104</v>
      </c>
      <c r="D725" s="108" t="s">
        <v>742</v>
      </c>
      <c r="E725" s="67" t="s">
        <v>15</v>
      </c>
      <c r="F725" s="94"/>
      <c r="G725" s="11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9"/>
      <c r="AC725" s="10"/>
    </row>
    <row r="726" spans="1:30" ht="15.75">
      <c r="A726" s="115">
        <v>27</v>
      </c>
      <c r="B726" s="107" t="s">
        <v>1146</v>
      </c>
      <c r="C726" s="107">
        <v>252619102105</v>
      </c>
      <c r="D726" s="108" t="s">
        <v>743</v>
      </c>
      <c r="E726" s="67" t="s">
        <v>9</v>
      </c>
      <c r="F726" s="94"/>
      <c r="G726" s="11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9"/>
    </row>
    <row r="727" spans="1:30" ht="15.75">
      <c r="A727" s="115">
        <v>28</v>
      </c>
      <c r="B727" s="107" t="s">
        <v>1147</v>
      </c>
      <c r="C727" s="107">
        <v>252619102106</v>
      </c>
      <c r="D727" s="108" t="s">
        <v>744</v>
      </c>
      <c r="E727" s="67" t="s">
        <v>15</v>
      </c>
      <c r="F727" s="94"/>
      <c r="G727" s="11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9"/>
      <c r="AA727" s="52"/>
      <c r="AD727" s="10"/>
    </row>
    <row r="728" spans="1:30" ht="15.75">
      <c r="A728" s="115">
        <v>29</v>
      </c>
      <c r="B728" s="107" t="s">
        <v>1148</v>
      </c>
      <c r="C728" s="107">
        <v>252619102107</v>
      </c>
      <c r="D728" s="108" t="s">
        <v>745</v>
      </c>
      <c r="E728" s="67" t="s">
        <v>9</v>
      </c>
      <c r="F728" s="94"/>
      <c r="G728" s="11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9"/>
    </row>
    <row r="729" spans="1:30" ht="15.75">
      <c r="A729" s="115">
        <v>30</v>
      </c>
      <c r="B729" s="107" t="s">
        <v>1149</v>
      </c>
      <c r="C729" s="107">
        <v>252619102108</v>
      </c>
      <c r="D729" s="108" t="s">
        <v>746</v>
      </c>
      <c r="E729" s="67" t="s">
        <v>15</v>
      </c>
      <c r="F729" s="90"/>
      <c r="G729" s="11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9"/>
    </row>
    <row r="730" spans="1:30">
      <c r="A730" s="115">
        <v>31</v>
      </c>
      <c r="B730" s="107" t="s">
        <v>1150</v>
      </c>
      <c r="C730" s="107">
        <v>252619102109</v>
      </c>
      <c r="D730" s="108" t="s">
        <v>747</v>
      </c>
      <c r="E730" s="67" t="s">
        <v>15</v>
      </c>
      <c r="F730" s="90"/>
      <c r="G730" s="11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30">
      <c r="A731" s="115">
        <v>32</v>
      </c>
      <c r="B731" s="107" t="s">
        <v>1151</v>
      </c>
      <c r="C731" s="107">
        <v>252619102111</v>
      </c>
      <c r="D731" s="108" t="s">
        <v>748</v>
      </c>
      <c r="E731" s="67" t="s">
        <v>15</v>
      </c>
      <c r="F731" s="90"/>
      <c r="G731" s="11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AD731" s="10"/>
    </row>
    <row r="732" spans="1:30">
      <c r="A732" s="115">
        <v>33</v>
      </c>
      <c r="B732" s="107" t="s">
        <v>1152</v>
      </c>
      <c r="C732" s="107">
        <v>252619102112</v>
      </c>
      <c r="D732" s="108" t="s">
        <v>749</v>
      </c>
      <c r="E732" s="67" t="s">
        <v>15</v>
      </c>
      <c r="F732" s="90"/>
      <c r="G732" s="11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30">
      <c r="A733" s="115">
        <v>34</v>
      </c>
      <c r="B733" s="107" t="s">
        <v>1153</v>
      </c>
      <c r="C733" s="107">
        <v>252619102113</v>
      </c>
      <c r="D733" s="108" t="s">
        <v>750</v>
      </c>
      <c r="E733" s="67" t="s">
        <v>15</v>
      </c>
      <c r="F733" s="90"/>
      <c r="G733" s="11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30">
      <c r="A734" s="115">
        <v>35</v>
      </c>
      <c r="B734" s="107" t="s">
        <v>1154</v>
      </c>
      <c r="C734" s="107">
        <v>252619102114</v>
      </c>
      <c r="D734" s="108" t="s">
        <v>751</v>
      </c>
      <c r="E734" s="67" t="s">
        <v>15</v>
      </c>
      <c r="F734" s="90"/>
      <c r="G734" s="11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30">
      <c r="A735" s="115">
        <v>36</v>
      </c>
      <c r="B735" s="107" t="s">
        <v>1155</v>
      </c>
      <c r="C735" s="107">
        <v>252619102115</v>
      </c>
      <c r="D735" s="108" t="s">
        <v>752</v>
      </c>
      <c r="E735" s="67" t="s">
        <v>15</v>
      </c>
      <c r="F735" s="90"/>
      <c r="G735" s="11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30">
      <c r="A736" s="162"/>
      <c r="B736" s="136"/>
      <c r="C736" s="136"/>
      <c r="D736" s="137"/>
      <c r="E736" s="78"/>
    </row>
    <row r="737" spans="1:25">
      <c r="A737" s="138"/>
      <c r="B737" s="138"/>
      <c r="C737" s="138"/>
      <c r="G737" s="7"/>
      <c r="H737" s="7"/>
    </row>
    <row r="738" spans="1:25">
      <c r="A738" s="138"/>
      <c r="B738" s="138"/>
      <c r="C738" s="138"/>
      <c r="D738" s="176" t="s">
        <v>10</v>
      </c>
      <c r="E738" s="89">
        <f>COUNTIF(E700:E735,"L")</f>
        <v>14</v>
      </c>
      <c r="G738" s="2"/>
    </row>
    <row r="739" spans="1:25">
      <c r="A739" s="138"/>
      <c r="B739" s="138"/>
      <c r="C739" s="138"/>
      <c r="D739" s="176" t="s">
        <v>11</v>
      </c>
      <c r="E739" s="89">
        <f>COUNTIF(E700:E735,"P")</f>
        <v>22</v>
      </c>
      <c r="G739" s="2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1"/>
      <c r="S739" s="2"/>
      <c r="T739" s="2"/>
      <c r="U739" s="2"/>
      <c r="V739" s="2"/>
      <c r="W739" s="2"/>
      <c r="X739" s="3"/>
    </row>
    <row r="740" spans="1:25">
      <c r="D740" s="180" t="s">
        <v>864</v>
      </c>
      <c r="E740" s="126">
        <f>SUM(E738:E739)</f>
        <v>36</v>
      </c>
      <c r="T740" s="2"/>
      <c r="U740" s="2"/>
      <c r="V740" s="2"/>
      <c r="W740" s="2"/>
      <c r="X740" s="3"/>
      <c r="Y740" s="2"/>
    </row>
    <row r="741" spans="1:25">
      <c r="T741" s="2"/>
      <c r="U741" s="2"/>
      <c r="V741" s="2"/>
      <c r="W741" s="2"/>
      <c r="X741" s="3"/>
      <c r="Y741" s="2"/>
    </row>
    <row r="742" spans="1:25">
      <c r="A742" s="139" t="s">
        <v>12</v>
      </c>
      <c r="B742" s="139"/>
      <c r="C742" s="139"/>
      <c r="D742" s="139"/>
      <c r="E742" s="1"/>
      <c r="F742" s="2"/>
      <c r="G742" s="2"/>
      <c r="H742" s="2"/>
      <c r="I742" s="3"/>
      <c r="J742" s="3"/>
      <c r="K742" s="3"/>
      <c r="L742" s="3"/>
      <c r="M742" s="3"/>
      <c r="N742" s="3"/>
      <c r="O742" s="3"/>
      <c r="P742" s="1" t="s">
        <v>1605</v>
      </c>
      <c r="Q742" s="2"/>
      <c r="T742" s="2"/>
      <c r="U742" s="2"/>
      <c r="V742" s="2"/>
      <c r="W742" s="2"/>
      <c r="X742" s="3"/>
      <c r="Y742" s="2"/>
    </row>
    <row r="743" spans="1:25">
      <c r="A743" s="139" t="s">
        <v>13</v>
      </c>
      <c r="B743" s="139"/>
      <c r="C743" s="139"/>
      <c r="D743" s="139"/>
      <c r="E743" s="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" t="s">
        <v>14</v>
      </c>
      <c r="Q743" s="3"/>
      <c r="S743" s="2"/>
      <c r="T743" s="2"/>
      <c r="U743" s="2"/>
      <c r="V743" s="2"/>
      <c r="W743" s="2"/>
      <c r="X743" s="2"/>
      <c r="Y743" s="2"/>
    </row>
    <row r="744" spans="1:25" ht="15.75">
      <c r="A744" s="139"/>
      <c r="B744" s="139"/>
      <c r="C744" s="139"/>
      <c r="D744" s="139"/>
      <c r="E744" s="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1"/>
      <c r="Q744" s="3"/>
      <c r="S744" s="2"/>
      <c r="T744" s="9"/>
      <c r="U744" s="9"/>
      <c r="V744" s="9"/>
      <c r="W744" s="9"/>
      <c r="X744" s="9"/>
      <c r="Y744" s="2"/>
    </row>
    <row r="745" spans="1:25" ht="15.75">
      <c r="A745" s="139"/>
      <c r="B745" s="139"/>
      <c r="C745" s="139"/>
      <c r="D745" s="139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S745" s="2"/>
      <c r="T745" s="9"/>
      <c r="U745" s="9"/>
      <c r="V745" s="9"/>
      <c r="Y745" s="9"/>
    </row>
    <row r="746" spans="1:25" ht="15.75">
      <c r="A746" s="140" t="s">
        <v>854</v>
      </c>
      <c r="B746" s="140"/>
      <c r="C746" s="140"/>
      <c r="D746" s="140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8" t="s">
        <v>16</v>
      </c>
      <c r="Q746" s="8"/>
      <c r="S746" s="2"/>
    </row>
    <row r="747" spans="1:25" ht="15.75">
      <c r="A747" s="140" t="s">
        <v>855</v>
      </c>
      <c r="B747" s="140"/>
      <c r="C747" s="140"/>
      <c r="D747" s="140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8" t="s">
        <v>17</v>
      </c>
      <c r="Q747" s="2"/>
    </row>
    <row r="765" spans="4:4">
      <c r="D765" s="112" t="s">
        <v>22</v>
      </c>
    </row>
    <row r="773" spans="1:25" ht="15.75">
      <c r="A773" s="211" t="s">
        <v>132</v>
      </c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</row>
    <row r="774" spans="1:25" ht="15.75">
      <c r="A774" s="211" t="s">
        <v>0</v>
      </c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</row>
    <row r="776" spans="1:25">
      <c r="A776" s="145" t="s">
        <v>133</v>
      </c>
      <c r="B776" s="145"/>
      <c r="C776" s="169" t="s">
        <v>391</v>
      </c>
      <c r="D776" s="145"/>
      <c r="E776" s="55" t="s">
        <v>1623</v>
      </c>
      <c r="F776" s="85"/>
      <c r="G776" s="85"/>
      <c r="H776" s="85"/>
      <c r="I776" s="85"/>
      <c r="J776" s="85"/>
      <c r="K776" s="85"/>
      <c r="L776" s="85" t="s">
        <v>1632</v>
      </c>
      <c r="M776" s="23"/>
      <c r="N776" s="23"/>
      <c r="O776" s="23"/>
      <c r="P776" s="23"/>
      <c r="Q776" s="23"/>
    </row>
    <row r="777" spans="1:25" ht="15.75">
      <c r="A777" s="145" t="s">
        <v>134</v>
      </c>
      <c r="B777" s="145"/>
      <c r="C777" s="169" t="s">
        <v>135</v>
      </c>
      <c r="D777" s="170"/>
      <c r="E777" s="86" t="s">
        <v>1621</v>
      </c>
      <c r="F777" s="84"/>
      <c r="G777" s="84"/>
      <c r="H777" s="84"/>
      <c r="I777" s="84"/>
      <c r="J777" s="84"/>
      <c r="K777" s="84"/>
      <c r="L777" s="84" t="s">
        <v>2626</v>
      </c>
      <c r="M777" s="14"/>
      <c r="N777" s="14"/>
      <c r="O777" s="14"/>
      <c r="P777" s="14"/>
      <c r="Q777" s="14"/>
      <c r="R777" s="50"/>
      <c r="S777" s="50"/>
      <c r="T777" s="50"/>
      <c r="U777" s="50"/>
      <c r="V777" s="50"/>
      <c r="W777" s="50"/>
      <c r="X777" s="50"/>
    </row>
    <row r="778" spans="1:25">
      <c r="A778" s="171"/>
      <c r="B778" s="171"/>
      <c r="C778" s="171"/>
      <c r="D778" s="170"/>
      <c r="E778" s="86" t="s">
        <v>1625</v>
      </c>
      <c r="F778" s="84"/>
      <c r="G778" s="84"/>
      <c r="H778" s="84"/>
      <c r="I778" s="84"/>
      <c r="J778" s="84"/>
      <c r="K778" s="84"/>
      <c r="L778" s="84" t="s">
        <v>2626</v>
      </c>
      <c r="M778" s="14"/>
      <c r="N778" s="14"/>
      <c r="O778" s="14"/>
      <c r="P778" s="14"/>
      <c r="Q778" s="14"/>
      <c r="R778" s="23"/>
      <c r="S778" s="23"/>
      <c r="T778" s="23"/>
      <c r="U778" s="23"/>
      <c r="V778" s="23"/>
      <c r="W778" s="23"/>
      <c r="X778" s="23"/>
    </row>
    <row r="779" spans="1:25">
      <c r="A779" s="220" t="s">
        <v>136</v>
      </c>
      <c r="B779" s="220"/>
      <c r="C779" s="169" t="s">
        <v>21</v>
      </c>
      <c r="D779" s="145"/>
      <c r="E779" s="55" t="s">
        <v>1627</v>
      </c>
      <c r="F779" s="85"/>
      <c r="G779" s="84"/>
      <c r="H779" s="85"/>
      <c r="I779" s="85"/>
      <c r="J779" s="85"/>
      <c r="K779" s="85" t="s">
        <v>1617</v>
      </c>
      <c r="L779" s="85" t="s">
        <v>1618</v>
      </c>
      <c r="M779" s="23"/>
      <c r="N779" s="23"/>
      <c r="O779" s="23"/>
      <c r="P779" s="23"/>
      <c r="Q779" s="23"/>
      <c r="R779" s="14"/>
      <c r="S779" s="14"/>
      <c r="T779" s="14"/>
      <c r="U779" s="14"/>
      <c r="V779" s="14"/>
      <c r="W779" s="14"/>
      <c r="X779" s="14"/>
      <c r="Y779" s="23"/>
    </row>
    <row r="780" spans="1:25">
      <c r="R780" s="23"/>
      <c r="S780" s="23"/>
      <c r="T780" s="23"/>
      <c r="U780" s="23"/>
      <c r="V780" s="23"/>
      <c r="W780" s="23"/>
      <c r="X780" s="23"/>
      <c r="Y780" s="14"/>
    </row>
    <row r="781" spans="1:25">
      <c r="A781" s="132"/>
      <c r="B781" s="132"/>
      <c r="C781" s="132"/>
      <c r="D781" s="129" t="s">
        <v>1599</v>
      </c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>
      <c r="A782" s="217" t="s">
        <v>1</v>
      </c>
      <c r="B782" s="217" t="s">
        <v>18</v>
      </c>
      <c r="C782" s="217" t="s">
        <v>2</v>
      </c>
      <c r="D782" s="217" t="s">
        <v>137</v>
      </c>
      <c r="E782" s="213" t="s">
        <v>3</v>
      </c>
      <c r="F782" s="208" t="s">
        <v>4</v>
      </c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10"/>
      <c r="V782" s="208" t="s">
        <v>5</v>
      </c>
      <c r="W782" s="209"/>
      <c r="X782" s="210"/>
      <c r="Y782" s="23"/>
    </row>
    <row r="783" spans="1:25">
      <c r="A783" s="218"/>
      <c r="B783" s="218"/>
      <c r="C783" s="218"/>
      <c r="D783" s="218"/>
      <c r="E783" s="214"/>
      <c r="F783" s="25">
        <v>1</v>
      </c>
      <c r="G783" s="25">
        <v>2</v>
      </c>
      <c r="H783" s="25">
        <v>3</v>
      </c>
      <c r="I783" s="25">
        <v>4</v>
      </c>
      <c r="J783" s="25">
        <v>5</v>
      </c>
      <c r="K783" s="25">
        <v>6</v>
      </c>
      <c r="L783" s="25">
        <v>7</v>
      </c>
      <c r="M783" s="25">
        <v>8</v>
      </c>
      <c r="N783" s="25">
        <v>9</v>
      </c>
      <c r="O783" s="25">
        <v>10</v>
      </c>
      <c r="P783" s="25">
        <v>11</v>
      </c>
      <c r="Q783" s="25">
        <v>12</v>
      </c>
      <c r="R783" s="25">
        <v>13</v>
      </c>
      <c r="S783" s="25">
        <v>14</v>
      </c>
      <c r="T783" s="25">
        <v>15</v>
      </c>
      <c r="U783" s="25">
        <v>16</v>
      </c>
      <c r="V783" s="25" t="s">
        <v>6</v>
      </c>
      <c r="W783" s="25" t="s">
        <v>7</v>
      </c>
      <c r="X783" s="25" t="s">
        <v>8</v>
      </c>
    </row>
    <row r="784" spans="1:25" ht="15.75">
      <c r="A784" s="219"/>
      <c r="B784" s="219"/>
      <c r="C784" s="219"/>
      <c r="D784" s="219"/>
      <c r="E784" s="49" t="s">
        <v>753</v>
      </c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9"/>
    </row>
    <row r="785" spans="1:32" ht="15.75">
      <c r="A785" s="115">
        <v>1</v>
      </c>
      <c r="B785" s="107" t="s">
        <v>1156</v>
      </c>
      <c r="C785" s="107" t="s">
        <v>1156</v>
      </c>
      <c r="D785" s="108" t="s">
        <v>754</v>
      </c>
      <c r="E785" s="12" t="s">
        <v>15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9"/>
    </row>
    <row r="786" spans="1:32" ht="15.75">
      <c r="A786" s="115">
        <v>2</v>
      </c>
      <c r="B786" s="107" t="s">
        <v>1157</v>
      </c>
      <c r="C786" s="107" t="s">
        <v>1157</v>
      </c>
      <c r="D786" s="108" t="s">
        <v>755</v>
      </c>
      <c r="E786" s="12" t="s">
        <v>15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9"/>
    </row>
    <row r="787" spans="1:32" ht="16.5" thickBot="1">
      <c r="A787" s="115">
        <v>3</v>
      </c>
      <c r="B787" s="107" t="s">
        <v>1158</v>
      </c>
      <c r="C787" s="107" t="s">
        <v>1158</v>
      </c>
      <c r="D787" s="108" t="s">
        <v>756</v>
      </c>
      <c r="E787" s="12" t="s">
        <v>15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9"/>
    </row>
    <row r="788" spans="1:32" ht="15.75">
      <c r="A788" s="115">
        <v>4</v>
      </c>
      <c r="B788" s="107" t="s">
        <v>1159</v>
      </c>
      <c r="C788" s="107" t="s">
        <v>1159</v>
      </c>
      <c r="D788" s="108" t="s">
        <v>757</v>
      </c>
      <c r="E788" s="12" t="s">
        <v>15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9"/>
      <c r="AA788" s="26" t="s">
        <v>393</v>
      </c>
      <c r="AB788" s="27"/>
      <c r="AC788" s="27"/>
      <c r="AD788" s="28"/>
      <c r="AE788" s="28"/>
      <c r="AF788" s="29"/>
    </row>
    <row r="789" spans="1:32" ht="15.75">
      <c r="A789" s="115">
        <v>5</v>
      </c>
      <c r="B789" s="107" t="s">
        <v>1160</v>
      </c>
      <c r="C789" s="107" t="s">
        <v>1160</v>
      </c>
      <c r="D789" s="108" t="s">
        <v>758</v>
      </c>
      <c r="E789" s="12" t="s">
        <v>15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9"/>
      <c r="AA789" s="31" t="s">
        <v>342</v>
      </c>
      <c r="AB789" s="32"/>
      <c r="AC789" s="32"/>
      <c r="AD789" s="33"/>
      <c r="AE789" s="33"/>
      <c r="AF789" s="34"/>
    </row>
    <row r="790" spans="1:32" ht="15.75">
      <c r="A790" s="115">
        <v>6</v>
      </c>
      <c r="B790" s="107" t="s">
        <v>1161</v>
      </c>
      <c r="C790" s="107" t="s">
        <v>1161</v>
      </c>
      <c r="D790" s="108" t="s">
        <v>760</v>
      </c>
      <c r="E790" s="12" t="s">
        <v>15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9"/>
      <c r="AA790" s="31" t="s">
        <v>759</v>
      </c>
      <c r="AB790" s="32"/>
      <c r="AC790" s="32"/>
      <c r="AD790" s="33"/>
      <c r="AE790" s="33"/>
      <c r="AF790" s="34"/>
    </row>
    <row r="791" spans="1:32" ht="16.5" thickBot="1">
      <c r="A791" s="115">
        <v>7</v>
      </c>
      <c r="B791" s="107" t="s">
        <v>1162</v>
      </c>
      <c r="C791" s="107" t="s">
        <v>1162</v>
      </c>
      <c r="D791" s="108" t="s">
        <v>761</v>
      </c>
      <c r="E791" s="12" t="s">
        <v>15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9"/>
      <c r="AA791" s="35" t="s">
        <v>140</v>
      </c>
      <c r="AB791" s="36"/>
      <c r="AC791" s="36"/>
      <c r="AD791" s="37"/>
      <c r="AE791" s="37"/>
      <c r="AF791" s="38"/>
    </row>
    <row r="792" spans="1:32" ht="15.75">
      <c r="A792" s="115">
        <v>8</v>
      </c>
      <c r="B792" s="107" t="s">
        <v>1163</v>
      </c>
      <c r="C792" s="107" t="s">
        <v>1163</v>
      </c>
      <c r="D792" s="108" t="s">
        <v>762</v>
      </c>
      <c r="E792" s="12" t="s">
        <v>15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9"/>
    </row>
    <row r="793" spans="1:32" ht="15.75">
      <c r="A793" s="115">
        <v>9</v>
      </c>
      <c r="B793" s="107" t="s">
        <v>1164</v>
      </c>
      <c r="C793" s="107" t="s">
        <v>1164</v>
      </c>
      <c r="D793" s="108" t="s">
        <v>763</v>
      </c>
      <c r="E793" s="12" t="s">
        <v>15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9"/>
    </row>
    <row r="794" spans="1:32" ht="15.75">
      <c r="A794" s="115">
        <v>10</v>
      </c>
      <c r="B794" s="107" t="s">
        <v>1165</v>
      </c>
      <c r="C794" s="107" t="s">
        <v>1165</v>
      </c>
      <c r="D794" s="108" t="s">
        <v>764</v>
      </c>
      <c r="E794" s="12" t="s">
        <v>15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9"/>
    </row>
    <row r="795" spans="1:32" ht="15.75">
      <c r="A795" s="115">
        <v>11</v>
      </c>
      <c r="B795" s="107" t="s">
        <v>1166</v>
      </c>
      <c r="C795" s="107" t="s">
        <v>1166</v>
      </c>
      <c r="D795" s="108" t="s">
        <v>765</v>
      </c>
      <c r="E795" s="12" t="s">
        <v>9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9"/>
    </row>
    <row r="796" spans="1:32" ht="15.75">
      <c r="A796" s="115">
        <v>12</v>
      </c>
      <c r="B796" s="107" t="s">
        <v>1167</v>
      </c>
      <c r="C796" s="107" t="s">
        <v>1167</v>
      </c>
      <c r="D796" s="108" t="s">
        <v>766</v>
      </c>
      <c r="E796" s="12" t="s">
        <v>9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9"/>
    </row>
    <row r="797" spans="1:32" ht="15.75">
      <c r="A797" s="115">
        <v>13</v>
      </c>
      <c r="B797" s="107" t="s">
        <v>1168</v>
      </c>
      <c r="C797" s="107" t="s">
        <v>1168</v>
      </c>
      <c r="D797" s="108" t="s">
        <v>767</v>
      </c>
      <c r="E797" s="12" t="s">
        <v>15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9"/>
    </row>
    <row r="798" spans="1:32" ht="15.75">
      <c r="A798" s="115">
        <v>14</v>
      </c>
      <c r="B798" s="107" t="s">
        <v>1169</v>
      </c>
      <c r="C798" s="107" t="s">
        <v>1169</v>
      </c>
      <c r="D798" s="108" t="s">
        <v>768</v>
      </c>
      <c r="E798" s="12" t="s">
        <v>15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9"/>
    </row>
    <row r="799" spans="1:32" ht="15.75">
      <c r="A799" s="115">
        <v>15</v>
      </c>
      <c r="B799" s="107" t="s">
        <v>1170</v>
      </c>
      <c r="C799" s="107" t="s">
        <v>1170</v>
      </c>
      <c r="D799" s="108" t="s">
        <v>769</v>
      </c>
      <c r="E799" s="12" t="s">
        <v>15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9"/>
    </row>
    <row r="800" spans="1:32" ht="15.75">
      <c r="A800" s="115">
        <v>16</v>
      </c>
      <c r="B800" s="107" t="s">
        <v>1171</v>
      </c>
      <c r="C800" s="107" t="s">
        <v>1171</v>
      </c>
      <c r="D800" s="108" t="s">
        <v>770</v>
      </c>
      <c r="E800" s="12" t="s">
        <v>15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9"/>
    </row>
    <row r="801" spans="1:30" ht="15.75">
      <c r="A801" s="115">
        <v>17</v>
      </c>
      <c r="B801" s="107" t="s">
        <v>1172</v>
      </c>
      <c r="C801" s="107" t="s">
        <v>1172</v>
      </c>
      <c r="D801" s="108" t="s">
        <v>771</v>
      </c>
      <c r="E801" s="12" t="s">
        <v>15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9"/>
    </row>
    <row r="802" spans="1:30" ht="15.75">
      <c r="A802" s="115">
        <v>18</v>
      </c>
      <c r="B802" s="107" t="s">
        <v>1173</v>
      </c>
      <c r="C802" s="107" t="s">
        <v>1173</v>
      </c>
      <c r="D802" s="108" t="s">
        <v>772</v>
      </c>
      <c r="E802" s="12" t="s">
        <v>15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9"/>
    </row>
    <row r="803" spans="1:30" ht="15.75">
      <c r="A803" s="115">
        <v>19</v>
      </c>
      <c r="B803" s="107" t="s">
        <v>1174</v>
      </c>
      <c r="C803" s="107" t="s">
        <v>1174</v>
      </c>
      <c r="D803" s="108" t="s">
        <v>773</v>
      </c>
      <c r="E803" s="12" t="s">
        <v>15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9"/>
    </row>
    <row r="804" spans="1:30" ht="15.75">
      <c r="A804" s="115">
        <v>20</v>
      </c>
      <c r="B804" s="107" t="s">
        <v>1175</v>
      </c>
      <c r="C804" s="107" t="s">
        <v>1175</v>
      </c>
      <c r="D804" s="108" t="s">
        <v>774</v>
      </c>
      <c r="E804" s="12" t="s">
        <v>15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9"/>
    </row>
    <row r="805" spans="1:30" ht="15.75">
      <c r="A805" s="115">
        <v>21</v>
      </c>
      <c r="B805" s="107" t="s">
        <v>1176</v>
      </c>
      <c r="C805" s="107" t="s">
        <v>1176</v>
      </c>
      <c r="D805" s="108" t="s">
        <v>775</v>
      </c>
      <c r="E805" s="12" t="s">
        <v>15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9"/>
    </row>
    <row r="806" spans="1:30" ht="15.75">
      <c r="A806" s="115">
        <v>22</v>
      </c>
      <c r="B806" s="107" t="s">
        <v>1177</v>
      </c>
      <c r="C806" s="107" t="s">
        <v>1177</v>
      </c>
      <c r="D806" s="108" t="s">
        <v>776</v>
      </c>
      <c r="E806" s="12" t="s">
        <v>15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9"/>
    </row>
    <row r="807" spans="1:30" ht="15.75">
      <c r="A807" s="115">
        <v>23</v>
      </c>
      <c r="B807" s="107" t="s">
        <v>1178</v>
      </c>
      <c r="C807" s="107" t="s">
        <v>1178</v>
      </c>
      <c r="D807" s="108" t="s">
        <v>777</v>
      </c>
      <c r="E807" s="12" t="s">
        <v>15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9"/>
      <c r="AD807" s="10"/>
    </row>
    <row r="808" spans="1:30" ht="15.75">
      <c r="A808" s="115">
        <v>24</v>
      </c>
      <c r="B808" s="107" t="s">
        <v>1179</v>
      </c>
      <c r="C808" s="107" t="s">
        <v>1179</v>
      </c>
      <c r="D808" s="108" t="s">
        <v>778</v>
      </c>
      <c r="E808" s="12" t="s">
        <v>15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9"/>
    </row>
    <row r="809" spans="1:30" ht="15.75">
      <c r="A809" s="115">
        <v>25</v>
      </c>
      <c r="B809" s="107" t="s">
        <v>1180</v>
      </c>
      <c r="C809" s="107" t="s">
        <v>1180</v>
      </c>
      <c r="D809" s="108" t="s">
        <v>779</v>
      </c>
      <c r="E809" s="12" t="s">
        <v>15</v>
      </c>
      <c r="F809" s="6"/>
      <c r="G809" s="11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9"/>
    </row>
    <row r="810" spans="1:30" ht="15.75">
      <c r="A810" s="115">
        <v>26</v>
      </c>
      <c r="B810" s="107" t="s">
        <v>1181</v>
      </c>
      <c r="C810" s="107" t="s">
        <v>1181</v>
      </c>
      <c r="D810" s="108" t="s">
        <v>780</v>
      </c>
      <c r="E810" s="12" t="s">
        <v>15</v>
      </c>
      <c r="F810" s="6"/>
      <c r="G810" s="11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9"/>
    </row>
    <row r="811" spans="1:30" ht="15.75">
      <c r="A811" s="115">
        <v>27</v>
      </c>
      <c r="B811" s="107" t="s">
        <v>1182</v>
      </c>
      <c r="C811" s="107" t="s">
        <v>1182</v>
      </c>
      <c r="D811" s="108" t="s">
        <v>781</v>
      </c>
      <c r="E811" s="12" t="s">
        <v>15</v>
      </c>
      <c r="F811" s="6"/>
      <c r="G811" s="11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9"/>
    </row>
    <row r="812" spans="1:30" ht="15.75">
      <c r="A812" s="115">
        <v>28</v>
      </c>
      <c r="B812" s="107" t="s">
        <v>1183</v>
      </c>
      <c r="C812" s="107" t="s">
        <v>1183</v>
      </c>
      <c r="D812" s="108" t="s">
        <v>782</v>
      </c>
      <c r="E812" s="12" t="s">
        <v>15</v>
      </c>
      <c r="F812" s="6"/>
      <c r="G812" s="11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9"/>
    </row>
    <row r="813" spans="1:30" ht="15.75">
      <c r="A813" s="115">
        <v>29</v>
      </c>
      <c r="B813" s="107" t="s">
        <v>1184</v>
      </c>
      <c r="C813" s="107" t="s">
        <v>1184</v>
      </c>
      <c r="D813" s="108" t="s">
        <v>783</v>
      </c>
      <c r="E813" s="12" t="s">
        <v>15</v>
      </c>
      <c r="F813" s="6"/>
      <c r="G813" s="11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9"/>
    </row>
    <row r="814" spans="1:30" ht="15.75">
      <c r="A814" s="115">
        <v>30</v>
      </c>
      <c r="B814" s="107" t="s">
        <v>1185</v>
      </c>
      <c r="C814" s="107" t="s">
        <v>1185</v>
      </c>
      <c r="D814" s="108" t="s">
        <v>784</v>
      </c>
      <c r="E814" s="12" t="s">
        <v>15</v>
      </c>
      <c r="F814" s="4"/>
      <c r="G814" s="11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9"/>
    </row>
    <row r="815" spans="1:30">
      <c r="A815" s="115">
        <v>31</v>
      </c>
      <c r="B815" s="107" t="s">
        <v>1186</v>
      </c>
      <c r="C815" s="107" t="s">
        <v>1186</v>
      </c>
      <c r="D815" s="108" t="s">
        <v>785</v>
      </c>
      <c r="E815" s="12" t="s">
        <v>15</v>
      </c>
      <c r="F815" s="4"/>
      <c r="G815" s="11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30">
      <c r="A816" s="115">
        <v>32</v>
      </c>
      <c r="B816" s="107" t="s">
        <v>1187</v>
      </c>
      <c r="C816" s="107" t="s">
        <v>1187</v>
      </c>
      <c r="D816" s="108" t="s">
        <v>786</v>
      </c>
      <c r="E816" s="12" t="s">
        <v>15</v>
      </c>
      <c r="F816" s="4"/>
      <c r="G816" s="11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AC816" s="10"/>
    </row>
    <row r="817" spans="1:25">
      <c r="A817" s="115">
        <v>33</v>
      </c>
      <c r="B817" s="107" t="s">
        <v>1188</v>
      </c>
      <c r="C817" s="107" t="s">
        <v>1188</v>
      </c>
      <c r="D817" s="108" t="s">
        <v>787</v>
      </c>
      <c r="E817" s="12" t="s">
        <v>15</v>
      </c>
      <c r="F817" s="4"/>
      <c r="G817" s="11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5">
      <c r="A818" s="115">
        <v>34</v>
      </c>
      <c r="B818" s="107" t="s">
        <v>1189</v>
      </c>
      <c r="C818" s="107" t="s">
        <v>1189</v>
      </c>
      <c r="D818" s="108" t="s">
        <v>788</v>
      </c>
      <c r="E818" s="12" t="s">
        <v>15</v>
      </c>
      <c r="F818" s="4"/>
      <c r="G818" s="11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5">
      <c r="A819" s="115">
        <v>35</v>
      </c>
      <c r="B819" s="107" t="s">
        <v>1190</v>
      </c>
      <c r="C819" s="107" t="s">
        <v>1190</v>
      </c>
      <c r="D819" s="108" t="s">
        <v>789</v>
      </c>
      <c r="E819" s="12" t="s">
        <v>15</v>
      </c>
      <c r="F819" s="4"/>
      <c r="G819" s="11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5">
      <c r="A820" s="162"/>
      <c r="B820" s="136"/>
      <c r="C820" s="136"/>
      <c r="D820" s="137"/>
      <c r="E820" s="10"/>
    </row>
    <row r="821" spans="1:25">
      <c r="A821" s="138"/>
      <c r="B821" s="138"/>
      <c r="C821" s="138"/>
      <c r="G821" s="7"/>
      <c r="H821" s="7"/>
    </row>
    <row r="822" spans="1:25">
      <c r="A822" s="138"/>
      <c r="B822" s="138"/>
      <c r="C822" s="138"/>
      <c r="D822" s="176" t="s">
        <v>10</v>
      </c>
      <c r="E822" s="89">
        <f>COUNTIF(E785:E819,"L")</f>
        <v>2</v>
      </c>
      <c r="G822" s="2"/>
    </row>
    <row r="823" spans="1:25">
      <c r="A823" s="138"/>
      <c r="B823" s="138"/>
      <c r="C823" s="138"/>
      <c r="D823" s="176" t="s">
        <v>11</v>
      </c>
      <c r="E823" s="89">
        <f>COUNTIF(E785:E819,"P")</f>
        <v>33</v>
      </c>
      <c r="G823" s="2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1"/>
      <c r="S823" s="2"/>
      <c r="T823" s="2"/>
      <c r="U823" s="2"/>
      <c r="V823" s="2"/>
      <c r="W823" s="2"/>
      <c r="X823" s="3"/>
    </row>
    <row r="824" spans="1:25">
      <c r="D824" s="180" t="s">
        <v>864</v>
      </c>
      <c r="E824" s="126">
        <v>35</v>
      </c>
      <c r="T824" s="2"/>
      <c r="U824" s="2"/>
      <c r="V824" s="2"/>
      <c r="W824" s="2"/>
      <c r="X824" s="3"/>
      <c r="Y824" s="2"/>
    </row>
    <row r="825" spans="1:25">
      <c r="T825" s="2"/>
      <c r="U825" s="2"/>
      <c r="V825" s="2"/>
      <c r="W825" s="2"/>
      <c r="X825" s="3"/>
      <c r="Y825" s="2"/>
    </row>
    <row r="826" spans="1:25">
      <c r="A826" s="139" t="s">
        <v>12</v>
      </c>
      <c r="B826" s="139"/>
      <c r="C826" s="139"/>
      <c r="D826" s="139"/>
      <c r="E826" s="1"/>
      <c r="F826" s="2"/>
      <c r="G826" s="2"/>
      <c r="H826" s="2"/>
      <c r="I826" s="3"/>
      <c r="J826" s="3"/>
      <c r="K826" s="3"/>
      <c r="L826" s="3"/>
      <c r="M826" s="3"/>
      <c r="N826" s="3"/>
      <c r="O826" s="3"/>
      <c r="P826" s="1" t="s">
        <v>1605</v>
      </c>
      <c r="Q826" s="2"/>
      <c r="T826" s="2"/>
      <c r="U826" s="2"/>
      <c r="V826" s="2"/>
      <c r="W826" s="2"/>
      <c r="X826" s="3"/>
      <c r="Y826" s="2"/>
    </row>
    <row r="827" spans="1:25">
      <c r="A827" s="139" t="s">
        <v>13</v>
      </c>
      <c r="B827" s="139"/>
      <c r="C827" s="139"/>
      <c r="D827" s="139"/>
      <c r="E827" s="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" t="s">
        <v>14</v>
      </c>
      <c r="Q827" s="3"/>
      <c r="S827" s="2"/>
      <c r="T827" s="2"/>
      <c r="U827" s="2"/>
      <c r="V827" s="2"/>
      <c r="W827" s="2"/>
      <c r="X827" s="2"/>
      <c r="Y827" s="2"/>
    </row>
    <row r="828" spans="1:25" ht="15.75">
      <c r="A828" s="139"/>
      <c r="B828" s="139"/>
      <c r="C828" s="139"/>
      <c r="D828" s="139"/>
      <c r="E828" s="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"/>
      <c r="Q828" s="3"/>
      <c r="S828" s="2"/>
      <c r="T828" s="9"/>
      <c r="U828" s="9"/>
      <c r="V828" s="9"/>
      <c r="W828" s="9"/>
      <c r="X828" s="9"/>
      <c r="Y828" s="2"/>
    </row>
    <row r="829" spans="1:25" ht="15.75">
      <c r="A829" s="139"/>
      <c r="B829" s="139"/>
      <c r="C829" s="139"/>
      <c r="D829" s="139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2"/>
      <c r="T829" s="9"/>
      <c r="U829" s="9"/>
      <c r="V829" s="9"/>
      <c r="Y829" s="9"/>
    </row>
    <row r="830" spans="1:25" ht="15.75">
      <c r="A830" s="140" t="s">
        <v>854</v>
      </c>
      <c r="B830" s="140"/>
      <c r="C830" s="140"/>
      <c r="D830" s="140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8" t="s">
        <v>16</v>
      </c>
      <c r="Q830" s="8"/>
      <c r="S830" s="2"/>
      <c r="T830" s="9"/>
      <c r="U830" s="9"/>
      <c r="V830" s="9"/>
    </row>
    <row r="831" spans="1:25" ht="15.75">
      <c r="A831" s="140" t="s">
        <v>855</v>
      </c>
      <c r="B831" s="140"/>
      <c r="C831" s="140"/>
      <c r="D831" s="140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8" t="s">
        <v>17</v>
      </c>
      <c r="Q831" s="2"/>
      <c r="T831" s="9"/>
      <c r="U831" s="9"/>
      <c r="V831" s="9"/>
    </row>
    <row r="832" spans="1:25" ht="15.75">
      <c r="A832" s="140"/>
      <c r="B832" s="140"/>
      <c r="C832" s="140"/>
      <c r="D832" s="140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8"/>
      <c r="Q832" s="2"/>
      <c r="T832" s="9"/>
      <c r="U832" s="9"/>
      <c r="V832" s="9"/>
    </row>
    <row r="833" spans="1:22" ht="15.75">
      <c r="A833" s="140"/>
      <c r="B833" s="140"/>
      <c r="C833" s="140"/>
      <c r="D833" s="140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8"/>
      <c r="Q833" s="2"/>
      <c r="T833" s="9"/>
      <c r="U833" s="9"/>
      <c r="V833" s="9"/>
    </row>
    <row r="834" spans="1:22" ht="15.75">
      <c r="A834" s="140"/>
      <c r="B834" s="140"/>
      <c r="C834" s="140"/>
      <c r="D834" s="140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8"/>
      <c r="Q834" s="2"/>
      <c r="T834" s="9"/>
      <c r="U834" s="9"/>
      <c r="V834" s="9"/>
    </row>
    <row r="835" spans="1:22" ht="15.75">
      <c r="A835" s="140"/>
      <c r="B835" s="140"/>
      <c r="C835" s="140"/>
      <c r="D835" s="140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8"/>
      <c r="Q835" s="2"/>
      <c r="T835" s="9"/>
      <c r="U835" s="9"/>
      <c r="V835" s="9"/>
    </row>
    <row r="836" spans="1:22" ht="15.75">
      <c r="A836" s="140"/>
      <c r="B836" s="140"/>
      <c r="C836" s="140"/>
      <c r="D836" s="140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8"/>
      <c r="Q836" s="2"/>
      <c r="T836" s="9"/>
      <c r="U836" s="9"/>
      <c r="V836" s="9"/>
    </row>
    <row r="837" spans="1:22" ht="15.75">
      <c r="A837" s="140"/>
      <c r="B837" s="140"/>
      <c r="C837" s="140"/>
      <c r="D837" s="140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8"/>
      <c r="Q837" s="2"/>
      <c r="T837" s="9"/>
      <c r="U837" s="9"/>
      <c r="V837" s="9"/>
    </row>
    <row r="838" spans="1:22" ht="15.75">
      <c r="A838" s="140"/>
      <c r="B838" s="140"/>
      <c r="C838" s="140"/>
      <c r="D838" s="140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8"/>
      <c r="Q838" s="2"/>
      <c r="T838" s="9"/>
      <c r="U838" s="9"/>
      <c r="V838" s="9"/>
    </row>
    <row r="839" spans="1:22" ht="15.75">
      <c r="A839" s="140"/>
      <c r="B839" s="140"/>
      <c r="C839" s="140"/>
      <c r="D839" s="140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8"/>
      <c r="Q839" s="2"/>
      <c r="T839" s="9"/>
      <c r="U839" s="9"/>
      <c r="V839" s="9"/>
    </row>
    <row r="840" spans="1:22" ht="15.75">
      <c r="A840" s="140"/>
      <c r="B840" s="140"/>
      <c r="C840" s="140"/>
      <c r="D840" s="140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8"/>
      <c r="Q840" s="2"/>
      <c r="T840" s="9"/>
      <c r="U840" s="9"/>
      <c r="V840" s="9"/>
    </row>
    <row r="841" spans="1:22" ht="15.75">
      <c r="A841" s="140"/>
      <c r="B841" s="140"/>
      <c r="C841" s="140"/>
      <c r="D841" s="140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8"/>
      <c r="Q841" s="2"/>
      <c r="T841" s="9"/>
      <c r="U841" s="9"/>
      <c r="V841" s="9"/>
    </row>
    <row r="842" spans="1:22" ht="15.75">
      <c r="A842" s="140"/>
      <c r="B842" s="140"/>
      <c r="C842" s="140"/>
      <c r="D842" s="140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8"/>
      <c r="Q842" s="2"/>
      <c r="T842" s="9"/>
      <c r="U842" s="9"/>
      <c r="V842" s="9"/>
    </row>
    <row r="843" spans="1:22" ht="15.75">
      <c r="A843" s="140"/>
      <c r="B843" s="140"/>
      <c r="C843" s="140"/>
      <c r="D843" s="140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8"/>
      <c r="Q843" s="2"/>
      <c r="T843" s="9"/>
      <c r="U843" s="9"/>
      <c r="V843" s="9"/>
    </row>
    <row r="844" spans="1:22" ht="15.75">
      <c r="A844" s="140"/>
      <c r="B844" s="140"/>
      <c r="C844" s="140"/>
      <c r="D844" s="140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8"/>
      <c r="Q844" s="2"/>
      <c r="T844" s="9"/>
      <c r="U844" s="9"/>
      <c r="V844" s="9"/>
    </row>
    <row r="845" spans="1:22" ht="15.75">
      <c r="A845" s="140"/>
      <c r="B845" s="140"/>
      <c r="C845" s="140"/>
      <c r="D845" s="140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8"/>
      <c r="Q845" s="2"/>
      <c r="T845" s="9"/>
      <c r="U845" s="9"/>
      <c r="V845" s="9"/>
    </row>
    <row r="846" spans="1:22" ht="15.75">
      <c r="A846" s="140"/>
      <c r="B846" s="140"/>
      <c r="C846" s="140"/>
      <c r="D846" s="140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8"/>
      <c r="Q846" s="2"/>
      <c r="T846" s="9"/>
      <c r="U846" s="9"/>
      <c r="V846" s="9"/>
    </row>
    <row r="859" spans="1:26" ht="15.75">
      <c r="A859" s="211" t="s">
        <v>132</v>
      </c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</row>
    <row r="860" spans="1:26" ht="15.75">
      <c r="A860" s="211" t="s">
        <v>0</v>
      </c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</row>
    <row r="861" spans="1:26" ht="15.75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8"/>
      <c r="Z861" s="8"/>
    </row>
    <row r="862" spans="1:26" ht="15.75">
      <c r="A862" s="129" t="s">
        <v>133</v>
      </c>
      <c r="B862" s="129"/>
      <c r="C862" s="131" t="s">
        <v>392</v>
      </c>
      <c r="D862" s="129"/>
      <c r="E862" s="55" t="s">
        <v>1623</v>
      </c>
      <c r="F862" s="85"/>
      <c r="G862" s="85"/>
      <c r="H862" s="85"/>
      <c r="I862" s="85"/>
      <c r="J862" s="85"/>
      <c r="K862" s="85"/>
      <c r="L862" s="85" t="s">
        <v>1632</v>
      </c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8"/>
      <c r="Z862" s="8"/>
    </row>
    <row r="863" spans="1:26" ht="15.75">
      <c r="A863" s="216" t="s">
        <v>134</v>
      </c>
      <c r="B863" s="216"/>
      <c r="C863" s="131" t="s">
        <v>135</v>
      </c>
      <c r="D863" s="154"/>
      <c r="E863" s="86" t="s">
        <v>1621</v>
      </c>
      <c r="F863" s="84"/>
      <c r="G863" s="84"/>
      <c r="H863" s="84"/>
      <c r="I863" s="84"/>
      <c r="J863" s="84"/>
      <c r="K863" s="84"/>
      <c r="L863" s="84" t="s">
        <v>2626</v>
      </c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23"/>
      <c r="Z863" s="8"/>
    </row>
    <row r="864" spans="1:26" ht="15.75">
      <c r="A864" s="164"/>
      <c r="B864" s="164"/>
      <c r="C864" s="164"/>
      <c r="D864" s="154"/>
      <c r="E864" s="86" t="s">
        <v>1625</v>
      </c>
      <c r="F864" s="84"/>
      <c r="G864" s="84"/>
      <c r="H864" s="84"/>
      <c r="I864" s="84"/>
      <c r="J864" s="84"/>
      <c r="K864" s="84"/>
      <c r="L864" s="84" t="s">
        <v>2626</v>
      </c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8"/>
    </row>
    <row r="865" spans="1:32" ht="15.75">
      <c r="A865" s="216" t="s">
        <v>136</v>
      </c>
      <c r="B865" s="216"/>
      <c r="C865" s="131" t="s">
        <v>21</v>
      </c>
      <c r="D865" s="129"/>
      <c r="E865" s="55" t="s">
        <v>1627</v>
      </c>
      <c r="F865" s="85"/>
      <c r="G865" s="84"/>
      <c r="H865" s="85"/>
      <c r="I865" s="85"/>
      <c r="J865" s="85"/>
      <c r="K865" s="85" t="s">
        <v>1617</v>
      </c>
      <c r="L865" s="85" t="s">
        <v>1618</v>
      </c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14"/>
      <c r="Z865" s="8"/>
    </row>
    <row r="866" spans="1:32" ht="15.75">
      <c r="A866" s="127"/>
      <c r="B866" s="127"/>
      <c r="C866" s="128"/>
      <c r="D866" s="129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14"/>
      <c r="Z866" s="8"/>
    </row>
    <row r="867" spans="1:32" ht="15.75">
      <c r="A867" s="132"/>
      <c r="B867" s="132"/>
      <c r="C867" s="132"/>
      <c r="D867" s="129" t="s">
        <v>1599</v>
      </c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8"/>
    </row>
    <row r="868" spans="1:32" ht="15.75">
      <c r="A868" s="217" t="s">
        <v>1</v>
      </c>
      <c r="B868" s="217" t="s">
        <v>18</v>
      </c>
      <c r="C868" s="217" t="s">
        <v>2</v>
      </c>
      <c r="D868" s="217" t="s">
        <v>137</v>
      </c>
      <c r="E868" s="213" t="s">
        <v>3</v>
      </c>
      <c r="F868" s="208" t="s">
        <v>4</v>
      </c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10"/>
      <c r="V868" s="208" t="s">
        <v>5</v>
      </c>
      <c r="W868" s="209"/>
      <c r="X868" s="210"/>
      <c r="Y868" s="23"/>
      <c r="Z868" s="8"/>
    </row>
    <row r="869" spans="1:32" ht="15.75" thickBot="1">
      <c r="A869" s="218"/>
      <c r="B869" s="218"/>
      <c r="C869" s="218"/>
      <c r="D869" s="218"/>
      <c r="E869" s="214"/>
      <c r="F869" s="25">
        <v>1</v>
      </c>
      <c r="G869" s="25">
        <v>2</v>
      </c>
      <c r="H869" s="25">
        <v>3</v>
      </c>
      <c r="I869" s="25">
        <v>4</v>
      </c>
      <c r="J869" s="25">
        <v>5</v>
      </c>
      <c r="K869" s="25">
        <v>6</v>
      </c>
      <c r="L869" s="25">
        <v>7</v>
      </c>
      <c r="M869" s="25">
        <v>8</v>
      </c>
      <c r="N869" s="25">
        <v>9</v>
      </c>
      <c r="O869" s="25">
        <v>10</v>
      </c>
      <c r="P869" s="25">
        <v>11</v>
      </c>
      <c r="Q869" s="25">
        <v>12</v>
      </c>
      <c r="R869" s="25">
        <v>13</v>
      </c>
      <c r="S869" s="25">
        <v>14</v>
      </c>
      <c r="T869" s="25">
        <v>15</v>
      </c>
      <c r="U869" s="25">
        <v>16</v>
      </c>
      <c r="V869" s="25" t="s">
        <v>6</v>
      </c>
      <c r="W869" s="25" t="s">
        <v>7</v>
      </c>
      <c r="X869" s="25" t="s">
        <v>8</v>
      </c>
    </row>
    <row r="870" spans="1:32" ht="15.75">
      <c r="A870" s="219"/>
      <c r="B870" s="219"/>
      <c r="C870" s="219"/>
      <c r="D870" s="219"/>
      <c r="E870" s="49" t="s">
        <v>394</v>
      </c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9"/>
      <c r="Z870" s="9"/>
      <c r="AA870" s="26" t="s">
        <v>393</v>
      </c>
      <c r="AB870" s="27"/>
      <c r="AC870" s="27"/>
      <c r="AD870" s="28"/>
      <c r="AE870" s="28"/>
      <c r="AF870" s="29"/>
    </row>
    <row r="871" spans="1:32" ht="15.75">
      <c r="A871" s="115">
        <v>1</v>
      </c>
      <c r="B871" s="107" t="s">
        <v>1191</v>
      </c>
      <c r="C871" s="107">
        <v>252619821037</v>
      </c>
      <c r="D871" s="108" t="s">
        <v>790</v>
      </c>
      <c r="E871" s="67" t="s">
        <v>15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9"/>
      <c r="Z871" s="9"/>
      <c r="AA871" s="31"/>
      <c r="AB871" s="32"/>
      <c r="AC871" s="32"/>
      <c r="AD871" s="33"/>
      <c r="AE871" s="33"/>
      <c r="AF871" s="34"/>
    </row>
    <row r="872" spans="1:32" ht="15.75">
      <c r="A872" s="115">
        <v>2</v>
      </c>
      <c r="B872" s="107" t="s">
        <v>1192</v>
      </c>
      <c r="C872" s="107">
        <v>252619821038</v>
      </c>
      <c r="D872" s="108" t="s">
        <v>791</v>
      </c>
      <c r="E872" s="67" t="s">
        <v>15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9"/>
      <c r="Z872" s="9"/>
      <c r="AA872" s="31" t="s">
        <v>342</v>
      </c>
      <c r="AB872" s="32"/>
      <c r="AC872" s="32"/>
      <c r="AD872" s="33"/>
      <c r="AE872" s="33"/>
      <c r="AF872" s="34"/>
    </row>
    <row r="873" spans="1:32" ht="15.75">
      <c r="A873" s="115">
        <v>3</v>
      </c>
      <c r="B873" s="107" t="s">
        <v>1193</v>
      </c>
      <c r="C873" s="107">
        <v>252619821039</v>
      </c>
      <c r="D873" s="108" t="s">
        <v>792</v>
      </c>
      <c r="E873" s="67" t="s">
        <v>15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9"/>
      <c r="Z873" s="9"/>
      <c r="AA873" s="31" t="s">
        <v>759</v>
      </c>
      <c r="AB873" s="32"/>
      <c r="AC873" s="32"/>
      <c r="AD873" s="33"/>
      <c r="AE873" s="33"/>
      <c r="AF873" s="34"/>
    </row>
    <row r="874" spans="1:32" ht="16.5" thickBot="1">
      <c r="A874" s="115">
        <v>4</v>
      </c>
      <c r="B874" s="107" t="s">
        <v>1194</v>
      </c>
      <c r="C874" s="107">
        <v>252619821040</v>
      </c>
      <c r="D874" s="108" t="s">
        <v>793</v>
      </c>
      <c r="E874" s="67" t="s">
        <v>15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9"/>
      <c r="Z874" s="9"/>
      <c r="AA874" s="35" t="s">
        <v>140</v>
      </c>
      <c r="AB874" s="36"/>
      <c r="AC874" s="36"/>
      <c r="AD874" s="37"/>
      <c r="AE874" s="37"/>
      <c r="AF874" s="38"/>
    </row>
    <row r="875" spans="1:32" ht="15.75">
      <c r="A875" s="115">
        <v>5</v>
      </c>
      <c r="B875" s="107" t="s">
        <v>1195</v>
      </c>
      <c r="C875" s="107">
        <v>252619821041</v>
      </c>
      <c r="D875" s="108" t="s">
        <v>794</v>
      </c>
      <c r="E875" s="67" t="s">
        <v>15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9"/>
      <c r="Z875" s="9"/>
      <c r="AA875" s="15"/>
      <c r="AB875" s="15"/>
      <c r="AC875" s="15"/>
    </row>
    <row r="876" spans="1:32" ht="15.75">
      <c r="A876" s="115">
        <v>6</v>
      </c>
      <c r="B876" s="107" t="s">
        <v>1196</v>
      </c>
      <c r="C876" s="107">
        <v>252619821042</v>
      </c>
      <c r="D876" s="108" t="s">
        <v>795</v>
      </c>
      <c r="E876" s="67" t="s">
        <v>15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9"/>
      <c r="Z876" s="9"/>
      <c r="AA876" s="15"/>
      <c r="AB876" s="15"/>
      <c r="AC876" s="15"/>
    </row>
    <row r="877" spans="1:32" ht="15.75">
      <c r="A877" s="115">
        <v>7</v>
      </c>
      <c r="B877" s="107" t="s">
        <v>1197</v>
      </c>
      <c r="C877" s="107">
        <v>252619821043</v>
      </c>
      <c r="D877" s="108" t="s">
        <v>796</v>
      </c>
      <c r="E877" s="67" t="s">
        <v>15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9"/>
      <c r="Z877" s="9"/>
    </row>
    <row r="878" spans="1:32" ht="15.75">
      <c r="A878" s="115">
        <v>8</v>
      </c>
      <c r="B878" s="107" t="s">
        <v>1198</v>
      </c>
      <c r="C878" s="107">
        <v>252619821044</v>
      </c>
      <c r="D878" s="108" t="s">
        <v>797</v>
      </c>
      <c r="E878" s="67" t="s">
        <v>15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9"/>
      <c r="Z878" s="9"/>
    </row>
    <row r="879" spans="1:32" ht="15.75">
      <c r="A879" s="115">
        <v>9</v>
      </c>
      <c r="B879" s="107" t="s">
        <v>1199</v>
      </c>
      <c r="C879" s="107">
        <v>252619821045</v>
      </c>
      <c r="D879" s="108" t="s">
        <v>798</v>
      </c>
      <c r="E879" s="67" t="s">
        <v>15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9"/>
      <c r="Z879" s="9"/>
    </row>
    <row r="880" spans="1:32" ht="15.75">
      <c r="A880" s="115">
        <v>10</v>
      </c>
      <c r="B880" s="107" t="s">
        <v>1200</v>
      </c>
      <c r="C880" s="107">
        <v>252619821046</v>
      </c>
      <c r="D880" s="108" t="s">
        <v>799</v>
      </c>
      <c r="E880" s="67" t="s">
        <v>15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9"/>
      <c r="Z880" s="9"/>
    </row>
    <row r="881" spans="1:29" ht="15.75">
      <c r="A881" s="115">
        <v>11</v>
      </c>
      <c r="B881" s="107" t="s">
        <v>1201</v>
      </c>
      <c r="C881" s="107">
        <v>252619821047</v>
      </c>
      <c r="D881" s="108" t="s">
        <v>800</v>
      </c>
      <c r="E881" s="67" t="s">
        <v>15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9"/>
      <c r="Z881" s="9"/>
    </row>
    <row r="882" spans="1:29" ht="15.75">
      <c r="A882" s="115">
        <v>12</v>
      </c>
      <c r="B882" s="107" t="s">
        <v>1202</v>
      </c>
      <c r="C882" s="107">
        <v>252619821048</v>
      </c>
      <c r="D882" s="108" t="s">
        <v>801</v>
      </c>
      <c r="E882" s="67" t="s">
        <v>15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9"/>
      <c r="Z882" s="9"/>
    </row>
    <row r="883" spans="1:29" ht="15.75">
      <c r="A883" s="115">
        <v>13</v>
      </c>
      <c r="B883" s="107" t="s">
        <v>1203</v>
      </c>
      <c r="C883" s="107">
        <v>252619821049</v>
      </c>
      <c r="D883" s="108" t="s">
        <v>802</v>
      </c>
      <c r="E883" s="67" t="s">
        <v>15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9"/>
      <c r="Z883" s="9"/>
    </row>
    <row r="884" spans="1:29" ht="15.75">
      <c r="A884" s="115">
        <v>14</v>
      </c>
      <c r="B884" s="107" t="s">
        <v>1204</v>
      </c>
      <c r="C884" s="107">
        <v>252619821050</v>
      </c>
      <c r="D884" s="108" t="s">
        <v>803</v>
      </c>
      <c r="E884" s="67" t="s">
        <v>15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9"/>
      <c r="Z884" s="9"/>
    </row>
    <row r="885" spans="1:29" ht="15.75">
      <c r="A885" s="115">
        <v>15</v>
      </c>
      <c r="B885" s="107" t="s">
        <v>1205</v>
      </c>
      <c r="C885" s="107">
        <v>252619821051</v>
      </c>
      <c r="D885" s="108" t="s">
        <v>804</v>
      </c>
      <c r="E885" s="67" t="s">
        <v>15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9"/>
      <c r="Z885" s="9"/>
    </row>
    <row r="886" spans="1:29" ht="15.75">
      <c r="A886" s="115">
        <v>16</v>
      </c>
      <c r="B886" s="107" t="s">
        <v>1206</v>
      </c>
      <c r="C886" s="107">
        <v>252619821052</v>
      </c>
      <c r="D886" s="108" t="s">
        <v>1207</v>
      </c>
      <c r="E886" s="67" t="s">
        <v>9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9"/>
      <c r="Z886" s="9"/>
    </row>
    <row r="887" spans="1:29" ht="15.75">
      <c r="A887" s="115">
        <v>17</v>
      </c>
      <c r="B887" s="107" t="s">
        <v>1208</v>
      </c>
      <c r="C887" s="107">
        <v>252619821053</v>
      </c>
      <c r="D887" s="108" t="s">
        <v>805</v>
      </c>
      <c r="E887" s="67" t="s">
        <v>15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9"/>
      <c r="Z887" s="9"/>
      <c r="AC887" s="10"/>
    </row>
    <row r="888" spans="1:29" ht="15.75">
      <c r="A888" s="115">
        <v>18</v>
      </c>
      <c r="B888" s="107" t="s">
        <v>1209</v>
      </c>
      <c r="C888" s="107">
        <v>252619821054</v>
      </c>
      <c r="D888" s="108" t="s">
        <v>806</v>
      </c>
      <c r="E888" s="67" t="s">
        <v>15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9"/>
      <c r="Z888" s="9"/>
    </row>
    <row r="889" spans="1:29" ht="15.75">
      <c r="A889" s="115">
        <v>19</v>
      </c>
      <c r="B889" s="107" t="s">
        <v>1210</v>
      </c>
      <c r="C889" s="107">
        <v>252619821055</v>
      </c>
      <c r="D889" s="108" t="s">
        <v>807</v>
      </c>
      <c r="E889" s="67" t="s">
        <v>9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9"/>
      <c r="Z889" s="9"/>
    </row>
    <row r="890" spans="1:29" ht="15.75">
      <c r="A890" s="115">
        <v>20</v>
      </c>
      <c r="B890" s="107" t="s">
        <v>1211</v>
      </c>
      <c r="C890" s="107">
        <v>252619821057</v>
      </c>
      <c r="D890" s="108" t="s">
        <v>808</v>
      </c>
      <c r="E890" s="67" t="s">
        <v>15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9"/>
      <c r="Z890" s="9"/>
    </row>
    <row r="891" spans="1:29" ht="15.75">
      <c r="A891" s="115">
        <v>21</v>
      </c>
      <c r="B891" s="107" t="s">
        <v>1212</v>
      </c>
      <c r="C891" s="107">
        <v>252619821058</v>
      </c>
      <c r="D891" s="108" t="s">
        <v>809</v>
      </c>
      <c r="E891" s="67" t="s">
        <v>15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9"/>
      <c r="Z891" s="9"/>
    </row>
    <row r="892" spans="1:29" ht="15.75">
      <c r="A892" s="115">
        <v>22</v>
      </c>
      <c r="B892" s="107" t="s">
        <v>1213</v>
      </c>
      <c r="C892" s="107">
        <v>252619821059</v>
      </c>
      <c r="D892" s="108" t="s">
        <v>810</v>
      </c>
      <c r="E892" s="67" t="s">
        <v>15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9"/>
      <c r="Z892" s="9"/>
    </row>
    <row r="893" spans="1:29" ht="15.75">
      <c r="A893" s="115">
        <v>23</v>
      </c>
      <c r="B893" s="107" t="s">
        <v>1214</v>
      </c>
      <c r="C893" s="107">
        <v>252619821060</v>
      </c>
      <c r="D893" s="108" t="s">
        <v>811</v>
      </c>
      <c r="E893" s="67" t="s">
        <v>15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9"/>
      <c r="Z893" s="9"/>
    </row>
    <row r="894" spans="1:29" ht="15.75">
      <c r="A894" s="115">
        <v>24</v>
      </c>
      <c r="B894" s="107" t="s">
        <v>1215</v>
      </c>
      <c r="C894" s="107">
        <v>252619821061</v>
      </c>
      <c r="D894" s="108" t="s">
        <v>812</v>
      </c>
      <c r="E894" s="67" t="s">
        <v>15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9"/>
      <c r="Z894" s="9"/>
      <c r="AC894" s="10"/>
    </row>
    <row r="895" spans="1:29" ht="15.75">
      <c r="A895" s="115">
        <v>25</v>
      </c>
      <c r="B895" s="107" t="s">
        <v>1216</v>
      </c>
      <c r="C895" s="107">
        <v>252619821062</v>
      </c>
      <c r="D895" s="108" t="s">
        <v>813</v>
      </c>
      <c r="E895" s="67" t="s">
        <v>15</v>
      </c>
      <c r="F895" s="6"/>
      <c r="G895" s="11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9"/>
      <c r="Z895" s="9"/>
    </row>
    <row r="896" spans="1:29" ht="15.75">
      <c r="A896" s="115">
        <v>26</v>
      </c>
      <c r="B896" s="107" t="s">
        <v>1217</v>
      </c>
      <c r="C896" s="107">
        <v>252619821063</v>
      </c>
      <c r="D896" s="108" t="s">
        <v>814</v>
      </c>
      <c r="E896" s="67" t="s">
        <v>15</v>
      </c>
      <c r="F896" s="6"/>
      <c r="G896" s="11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9"/>
      <c r="Z896" s="9"/>
    </row>
    <row r="897" spans="1:27" ht="15.75">
      <c r="A897" s="115">
        <v>27</v>
      </c>
      <c r="B897" s="107" t="s">
        <v>1218</v>
      </c>
      <c r="C897" s="107">
        <v>252619821064</v>
      </c>
      <c r="D897" s="108" t="s">
        <v>815</v>
      </c>
      <c r="E897" s="67" t="s">
        <v>15</v>
      </c>
      <c r="F897" s="6"/>
      <c r="G897" s="11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9"/>
      <c r="Z897" s="9"/>
    </row>
    <row r="898" spans="1:27" ht="15.75">
      <c r="A898" s="115">
        <v>28</v>
      </c>
      <c r="B898" s="107" t="s">
        <v>1219</v>
      </c>
      <c r="C898" s="107">
        <v>252619821065</v>
      </c>
      <c r="D898" s="108" t="s">
        <v>816</v>
      </c>
      <c r="E898" s="67" t="s">
        <v>15</v>
      </c>
      <c r="F898" s="6"/>
      <c r="G898" s="11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9"/>
      <c r="Z898" s="9"/>
    </row>
    <row r="899" spans="1:27" ht="15.75">
      <c r="A899" s="115">
        <v>29</v>
      </c>
      <c r="B899" s="107" t="s">
        <v>1220</v>
      </c>
      <c r="C899" s="107">
        <v>252619821066</v>
      </c>
      <c r="D899" s="108" t="s">
        <v>817</v>
      </c>
      <c r="E899" s="67" t="s">
        <v>15</v>
      </c>
      <c r="F899" s="6"/>
      <c r="G899" s="11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9"/>
      <c r="Z899" s="9"/>
    </row>
    <row r="900" spans="1:27" ht="15.75">
      <c r="A900" s="115">
        <v>30</v>
      </c>
      <c r="B900" s="107" t="s">
        <v>1221</v>
      </c>
      <c r="C900" s="107">
        <v>252619821067</v>
      </c>
      <c r="D900" s="108" t="s">
        <v>818</v>
      </c>
      <c r="E900" s="67" t="s">
        <v>15</v>
      </c>
      <c r="F900" s="4"/>
      <c r="G900" s="11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9"/>
      <c r="Z900" s="9"/>
    </row>
    <row r="901" spans="1:27">
      <c r="A901" s="115">
        <v>31</v>
      </c>
      <c r="B901" s="107" t="s">
        <v>1222</v>
      </c>
      <c r="C901" s="107">
        <v>252619821068</v>
      </c>
      <c r="D901" s="108" t="s">
        <v>819</v>
      </c>
      <c r="E901" s="67" t="s">
        <v>15</v>
      </c>
      <c r="F901" s="4"/>
      <c r="G901" s="11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AA901" s="62"/>
    </row>
    <row r="902" spans="1:27">
      <c r="A902" s="115">
        <v>32</v>
      </c>
      <c r="B902" s="107" t="s">
        <v>1223</v>
      </c>
      <c r="C902" s="107">
        <v>252619821069</v>
      </c>
      <c r="D902" s="108" t="s">
        <v>820</v>
      </c>
      <c r="E902" s="67" t="s">
        <v>15</v>
      </c>
      <c r="F902" s="4"/>
      <c r="G902" s="11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7">
      <c r="A903" s="162"/>
      <c r="B903" s="136"/>
      <c r="C903" s="136"/>
      <c r="D903" s="137"/>
      <c r="E903" s="78"/>
    </row>
    <row r="904" spans="1:27">
      <c r="A904" s="138"/>
      <c r="B904" s="138"/>
      <c r="C904" s="138"/>
      <c r="D904" s="180" t="s">
        <v>864</v>
      </c>
      <c r="E904" s="175">
        <v>32</v>
      </c>
      <c r="G904" s="7"/>
      <c r="H904" s="7"/>
    </row>
    <row r="905" spans="1:27">
      <c r="A905" s="138"/>
      <c r="B905" s="138"/>
      <c r="C905" s="138"/>
      <c r="D905" s="176" t="s">
        <v>10</v>
      </c>
      <c r="E905" s="89">
        <f>COUNTIF(E871:E902,"L")</f>
        <v>2</v>
      </c>
      <c r="G905" s="2"/>
    </row>
    <row r="906" spans="1:27">
      <c r="A906" s="138"/>
      <c r="B906" s="138"/>
      <c r="C906" s="138"/>
      <c r="D906" s="176" t="s">
        <v>11</v>
      </c>
      <c r="E906" s="89">
        <f>COUNTIF(E871:E902,"P")</f>
        <v>30</v>
      </c>
      <c r="G906" s="2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1"/>
      <c r="S906" s="2"/>
      <c r="T906" s="2"/>
      <c r="U906" s="2"/>
      <c r="V906" s="2"/>
      <c r="W906" s="2"/>
      <c r="X906" s="3"/>
    </row>
    <row r="907" spans="1:27">
      <c r="A907" s="139" t="s">
        <v>12</v>
      </c>
      <c r="B907" s="139"/>
      <c r="C907" s="139"/>
      <c r="D907" s="139"/>
      <c r="E907" s="1"/>
      <c r="F907" s="2"/>
      <c r="G907" s="2"/>
      <c r="H907" s="2"/>
      <c r="I907" s="3"/>
      <c r="J907" s="3"/>
      <c r="K907" s="3"/>
      <c r="L907" s="3"/>
      <c r="M907" s="3"/>
      <c r="N907" s="3"/>
      <c r="O907" s="3"/>
      <c r="P907" s="1" t="s">
        <v>1605</v>
      </c>
      <c r="Q907" s="2"/>
      <c r="T907" s="2"/>
      <c r="U907" s="2"/>
      <c r="V907" s="2"/>
      <c r="W907" s="2"/>
      <c r="X907" s="3"/>
    </row>
    <row r="908" spans="1:27">
      <c r="A908" s="139" t="s">
        <v>13</v>
      </c>
      <c r="B908" s="139"/>
      <c r="C908" s="139"/>
      <c r="D908" s="139"/>
      <c r="E908" s="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" t="s">
        <v>14</v>
      </c>
      <c r="Q908" s="3"/>
      <c r="S908" s="2"/>
      <c r="T908" s="2"/>
      <c r="U908" s="2"/>
      <c r="V908" s="2"/>
      <c r="W908" s="2"/>
      <c r="X908" s="3"/>
    </row>
    <row r="909" spans="1:27">
      <c r="A909" s="139"/>
      <c r="B909" s="139"/>
      <c r="C909" s="139"/>
      <c r="D909" s="139"/>
      <c r="E909" s="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1"/>
      <c r="Q909" s="3"/>
      <c r="S909" s="2"/>
      <c r="T909" s="2"/>
      <c r="U909" s="2"/>
      <c r="V909" s="2"/>
      <c r="W909" s="2"/>
      <c r="X909" s="3"/>
    </row>
    <row r="910" spans="1:27">
      <c r="A910" s="139"/>
      <c r="B910" s="139"/>
      <c r="C910" s="139"/>
      <c r="D910" s="139"/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S910" s="2"/>
      <c r="T910" s="2"/>
      <c r="U910" s="2"/>
      <c r="V910" s="2"/>
      <c r="W910" s="2"/>
      <c r="X910" s="2"/>
      <c r="Y910" s="2"/>
    </row>
    <row r="911" spans="1:27" ht="15.75">
      <c r="A911" s="140" t="s">
        <v>854</v>
      </c>
      <c r="B911" s="140"/>
      <c r="C911" s="140"/>
      <c r="D911" s="140"/>
      <c r="E911" s="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8" t="s">
        <v>16</v>
      </c>
      <c r="Q911" s="8"/>
      <c r="S911" s="2"/>
      <c r="T911" s="9"/>
      <c r="U911" s="9"/>
      <c r="V911" s="9"/>
      <c r="W911" s="9"/>
      <c r="X911" s="9"/>
      <c r="Y911" s="2"/>
    </row>
    <row r="912" spans="1:27" ht="15.75">
      <c r="A912" s="140" t="s">
        <v>855</v>
      </c>
      <c r="B912" s="140"/>
      <c r="C912" s="140"/>
      <c r="D912" s="140"/>
      <c r="E912" s="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8" t="s">
        <v>17</v>
      </c>
      <c r="Q912" s="2"/>
      <c r="T912" s="9"/>
      <c r="U912" s="9"/>
      <c r="V912" s="9"/>
      <c r="Y912" s="2"/>
    </row>
    <row r="913" spans="25:25">
      <c r="Y913" s="2"/>
    </row>
    <row r="914" spans="25:25">
      <c r="Y914" s="2"/>
    </row>
    <row r="915" spans="25:25" ht="15.75">
      <c r="Y915" s="9"/>
    </row>
  </sheetData>
  <mergeCells count="112">
    <mergeCell ref="A9:X9"/>
    <mergeCell ref="A10:X10"/>
    <mergeCell ref="A13:B13"/>
    <mergeCell ref="A15:B15"/>
    <mergeCell ref="A94:X94"/>
    <mergeCell ref="A95:X95"/>
    <mergeCell ref="A98:B98"/>
    <mergeCell ref="A100:B100"/>
    <mergeCell ref="D17:Y17"/>
    <mergeCell ref="A18:A19"/>
    <mergeCell ref="B18:B19"/>
    <mergeCell ref="C18:C19"/>
    <mergeCell ref="D18:D19"/>
    <mergeCell ref="E18:E19"/>
    <mergeCell ref="F18:U18"/>
    <mergeCell ref="V18:X18"/>
    <mergeCell ref="A179:X179"/>
    <mergeCell ref="A180:X180"/>
    <mergeCell ref="A185:B185"/>
    <mergeCell ref="D102:Y102"/>
    <mergeCell ref="A103:A105"/>
    <mergeCell ref="B103:B105"/>
    <mergeCell ref="C103:C105"/>
    <mergeCell ref="D103:D105"/>
    <mergeCell ref="E103:E104"/>
    <mergeCell ref="F103:U103"/>
    <mergeCell ref="V103:X103"/>
    <mergeCell ref="A264:X264"/>
    <mergeCell ref="A265:X265"/>
    <mergeCell ref="A273:A275"/>
    <mergeCell ref="B273:B275"/>
    <mergeCell ref="C273:C275"/>
    <mergeCell ref="D273:D275"/>
    <mergeCell ref="E273:E274"/>
    <mergeCell ref="F273:U273"/>
    <mergeCell ref="D187:Y187"/>
    <mergeCell ref="A188:A190"/>
    <mergeCell ref="B188:B190"/>
    <mergeCell ref="C188:C190"/>
    <mergeCell ref="D188:D190"/>
    <mergeCell ref="E188:E189"/>
    <mergeCell ref="F188:U188"/>
    <mergeCell ref="V188:X188"/>
    <mergeCell ref="F359:U359"/>
    <mergeCell ref="V359:X359"/>
    <mergeCell ref="A435:X435"/>
    <mergeCell ref="A436:X436"/>
    <mergeCell ref="V273:X273"/>
    <mergeCell ref="A350:X350"/>
    <mergeCell ref="A351:X351"/>
    <mergeCell ref="A359:A361"/>
    <mergeCell ref="B359:B361"/>
    <mergeCell ref="C359:C361"/>
    <mergeCell ref="D359:D361"/>
    <mergeCell ref="E359:E360"/>
    <mergeCell ref="A697:A699"/>
    <mergeCell ref="B697:B699"/>
    <mergeCell ref="C697:C699"/>
    <mergeCell ref="D697:D699"/>
    <mergeCell ref="E697:E698"/>
    <mergeCell ref="F697:U697"/>
    <mergeCell ref="V697:X697"/>
    <mergeCell ref="V444:X444"/>
    <mergeCell ref="A518:X518"/>
    <mergeCell ref="A519:X519"/>
    <mergeCell ref="C522:D522"/>
    <mergeCell ref="A526:A528"/>
    <mergeCell ref="B526:B528"/>
    <mergeCell ref="C526:C528"/>
    <mergeCell ref="D526:D528"/>
    <mergeCell ref="E526:E527"/>
    <mergeCell ref="F526:U526"/>
    <mergeCell ref="A444:A446"/>
    <mergeCell ref="B444:B446"/>
    <mergeCell ref="C444:C446"/>
    <mergeCell ref="D444:D446"/>
    <mergeCell ref="E444:E445"/>
    <mergeCell ref="F444:U444"/>
    <mergeCell ref="V526:X526"/>
    <mergeCell ref="A611:A613"/>
    <mergeCell ref="B611:B613"/>
    <mergeCell ref="C611:C613"/>
    <mergeCell ref="D611:D613"/>
    <mergeCell ref="E611:E612"/>
    <mergeCell ref="F611:U611"/>
    <mergeCell ref="V611:X611"/>
    <mergeCell ref="A688:X688"/>
    <mergeCell ref="A689:X689"/>
    <mergeCell ref="A602:Z602"/>
    <mergeCell ref="A603:Z603"/>
    <mergeCell ref="A865:B865"/>
    <mergeCell ref="A868:A870"/>
    <mergeCell ref="B868:B870"/>
    <mergeCell ref="C868:C870"/>
    <mergeCell ref="D868:D870"/>
    <mergeCell ref="E868:E869"/>
    <mergeCell ref="F868:U868"/>
    <mergeCell ref="V868:X868"/>
    <mergeCell ref="A779:B779"/>
    <mergeCell ref="A859:X859"/>
    <mergeCell ref="A860:X860"/>
    <mergeCell ref="A861:X861"/>
    <mergeCell ref="A863:B863"/>
    <mergeCell ref="A782:A784"/>
    <mergeCell ref="B782:B784"/>
    <mergeCell ref="C782:C784"/>
    <mergeCell ref="D782:D784"/>
    <mergeCell ref="E782:E783"/>
    <mergeCell ref="F782:U782"/>
    <mergeCell ref="V782:X782"/>
    <mergeCell ref="A773:X773"/>
    <mergeCell ref="A774:X774"/>
  </mergeCells>
  <printOptions horizontalCentered="1"/>
  <pageMargins left="0" right="0" top="0.74803149606299213" bottom="0.74803149606299213" header="0.31496062992125984" footer="0.31496062992125984"/>
  <pageSetup paperSize="5" scale="7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19"/>
  <sheetViews>
    <sheetView view="pageBreakPreview" topLeftCell="A665" zoomScale="84" zoomScaleNormal="84" zoomScaleSheetLayoutView="84" workbookViewId="0">
      <selection activeCell="D681" sqref="D681"/>
    </sheetView>
  </sheetViews>
  <sheetFormatPr defaultRowHeight="15"/>
  <cols>
    <col min="1" max="1" width="4.5703125" customWidth="1"/>
    <col min="2" max="2" width="12.140625" customWidth="1"/>
    <col min="3" max="3" width="14.28515625" customWidth="1"/>
    <col min="4" max="4" width="37.7109375" customWidth="1"/>
    <col min="5" max="5" width="5.42578125" customWidth="1"/>
    <col min="6" max="6" width="3.42578125" customWidth="1"/>
    <col min="7" max="14" width="2.7109375" customWidth="1"/>
    <col min="15" max="21" width="3" customWidth="1"/>
    <col min="22" max="24" width="2.7109375" customWidth="1"/>
    <col min="25" max="26" width="3.7109375" customWidth="1"/>
    <col min="28" max="28" width="15.7109375" customWidth="1"/>
    <col min="34" max="35" width="9.28515625" customWidth="1"/>
  </cols>
  <sheetData>
    <row r="1" spans="1:32" ht="15.75" customHeight="1"/>
    <row r="2" spans="1:32" ht="15.75" customHeight="1"/>
    <row r="3" spans="1:32" ht="15.75" customHeight="1"/>
    <row r="4" spans="1:32" ht="15.75" customHeight="1"/>
    <row r="5" spans="1:32" ht="15.75" customHeight="1"/>
    <row r="6" spans="1:32" ht="15.75" customHeight="1"/>
    <row r="7" spans="1:32" ht="15.75" customHeight="1">
      <c r="A7" s="211" t="s">
        <v>132</v>
      </c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</row>
    <row r="8" spans="1:32" ht="15.75" customHeight="1">
      <c r="A8" s="211" t="s">
        <v>0</v>
      </c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8"/>
      <c r="Z8" s="8"/>
    </row>
    <row r="9" spans="1:32" ht="15.75" customHeight="1">
      <c r="Y9" s="8"/>
      <c r="Z9" s="8"/>
    </row>
    <row r="10" spans="1:32" ht="15.75" customHeight="1">
      <c r="A10" s="21" t="s">
        <v>133</v>
      </c>
      <c r="B10" s="21"/>
      <c r="C10" s="22" t="s">
        <v>2634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8"/>
    </row>
    <row r="11" spans="1:32" ht="15.75" customHeight="1">
      <c r="A11" s="226" t="s">
        <v>134</v>
      </c>
      <c r="B11" s="226"/>
      <c r="C11" s="15" t="s">
        <v>135</v>
      </c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8"/>
    </row>
    <row r="12" spans="1:32" ht="15.75" customHeight="1">
      <c r="A12" s="212" t="s">
        <v>136</v>
      </c>
      <c r="B12" s="212"/>
      <c r="C12" s="54" t="s">
        <v>863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8"/>
    </row>
    <row r="13" spans="1:32" ht="15.75" customHeight="1">
      <c r="A13" s="24"/>
      <c r="B13" s="24"/>
      <c r="C13" s="24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8"/>
    </row>
    <row r="14" spans="1:32" ht="15.75" customHeight="1" thickBot="1">
      <c r="A14" s="206" t="s">
        <v>1</v>
      </c>
      <c r="B14" s="206" t="s">
        <v>18</v>
      </c>
      <c r="C14" s="206" t="s">
        <v>2</v>
      </c>
      <c r="D14" s="206" t="s">
        <v>137</v>
      </c>
      <c r="E14" s="213" t="s">
        <v>3</v>
      </c>
      <c r="F14" s="208" t="s">
        <v>4</v>
      </c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10"/>
      <c r="V14" s="208" t="s">
        <v>5</v>
      </c>
      <c r="W14" s="209"/>
      <c r="X14" s="210"/>
    </row>
    <row r="15" spans="1:32" ht="15.75" customHeight="1">
      <c r="A15" s="207"/>
      <c r="B15" s="207"/>
      <c r="C15" s="207"/>
      <c r="D15" s="207"/>
      <c r="E15" s="214"/>
      <c r="F15" s="25">
        <v>1</v>
      </c>
      <c r="G15" s="25">
        <v>2</v>
      </c>
      <c r="H15" s="25">
        <v>3</v>
      </c>
      <c r="I15" s="25">
        <v>4</v>
      </c>
      <c r="J15" s="25">
        <v>5</v>
      </c>
      <c r="K15" s="25">
        <v>6</v>
      </c>
      <c r="L15" s="25">
        <v>7</v>
      </c>
      <c r="M15" s="25">
        <v>8</v>
      </c>
      <c r="N15" s="25">
        <v>9</v>
      </c>
      <c r="O15" s="25">
        <v>10</v>
      </c>
      <c r="P15" s="25">
        <v>11</v>
      </c>
      <c r="Q15" s="25">
        <v>12</v>
      </c>
      <c r="R15" s="25">
        <v>13</v>
      </c>
      <c r="S15" s="25">
        <v>14</v>
      </c>
      <c r="T15" s="25">
        <v>15</v>
      </c>
      <c r="U15" s="25">
        <v>16</v>
      </c>
      <c r="V15" s="25" t="s">
        <v>6</v>
      </c>
      <c r="W15" s="25" t="s">
        <v>7</v>
      </c>
      <c r="X15" s="25" t="s">
        <v>8</v>
      </c>
      <c r="Y15" s="9"/>
      <c r="Z15" s="9"/>
      <c r="AA15" s="26" t="s">
        <v>337</v>
      </c>
      <c r="AB15" s="27"/>
      <c r="AC15" s="27"/>
      <c r="AD15" s="28"/>
      <c r="AE15" s="28"/>
      <c r="AF15" s="29"/>
    </row>
    <row r="16" spans="1:32" ht="15.75" customHeight="1">
      <c r="A16" s="71">
        <v>1</v>
      </c>
      <c r="B16" s="69" t="s">
        <v>1565</v>
      </c>
      <c r="C16" s="69">
        <v>242518221002</v>
      </c>
      <c r="D16" s="68" t="s">
        <v>23</v>
      </c>
      <c r="E16" s="70" t="s">
        <v>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9"/>
      <c r="Z16" s="9"/>
      <c r="AA16" s="31" t="s">
        <v>139</v>
      </c>
      <c r="AB16" s="32"/>
      <c r="AC16" s="32"/>
      <c r="AD16" s="33"/>
      <c r="AE16" s="33"/>
      <c r="AF16" s="34"/>
    </row>
    <row r="17" spans="1:32" ht="15.75" customHeight="1" thickBot="1">
      <c r="A17" s="71">
        <v>2</v>
      </c>
      <c r="B17" s="69" t="s">
        <v>1566</v>
      </c>
      <c r="C17" s="69">
        <v>242518221003</v>
      </c>
      <c r="D17" s="68" t="s">
        <v>24</v>
      </c>
      <c r="E17" s="70" t="s">
        <v>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9"/>
      <c r="Z17" s="9"/>
      <c r="AA17" s="35" t="s">
        <v>140</v>
      </c>
      <c r="AB17" s="36"/>
      <c r="AC17" s="36"/>
      <c r="AD17" s="37"/>
      <c r="AE17" s="37"/>
      <c r="AF17" s="38"/>
    </row>
    <row r="18" spans="1:32" ht="15.75" customHeight="1">
      <c r="A18" s="71">
        <v>3</v>
      </c>
      <c r="B18" s="69" t="s">
        <v>1567</v>
      </c>
      <c r="C18" s="69">
        <v>242518221004</v>
      </c>
      <c r="D18" s="68" t="s">
        <v>25</v>
      </c>
      <c r="E18" s="70" t="s">
        <v>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9"/>
      <c r="Z18" s="9"/>
      <c r="AA18" s="15"/>
      <c r="AB18" s="15"/>
      <c r="AC18" s="15"/>
    </row>
    <row r="19" spans="1:32" ht="15.75" customHeight="1">
      <c r="A19" s="71">
        <v>4</v>
      </c>
      <c r="B19" s="69" t="s">
        <v>1568</v>
      </c>
      <c r="C19" s="69">
        <v>242518221005</v>
      </c>
      <c r="D19" s="68" t="s">
        <v>26</v>
      </c>
      <c r="E19" s="70" t="s">
        <v>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9"/>
      <c r="Z19" s="9"/>
      <c r="AB19" s="15"/>
      <c r="AC19" s="15"/>
      <c r="AD19" s="15"/>
    </row>
    <row r="20" spans="1:32" ht="15.75" customHeight="1">
      <c r="A20" s="71">
        <v>5</v>
      </c>
      <c r="B20" s="69" t="s">
        <v>1569</v>
      </c>
      <c r="C20" s="69">
        <v>242518221006</v>
      </c>
      <c r="D20" s="68" t="s">
        <v>27</v>
      </c>
      <c r="E20" s="70" t="s">
        <v>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9"/>
      <c r="Z20" s="9"/>
    </row>
    <row r="21" spans="1:32" ht="15.75" customHeight="1">
      <c r="A21" s="71">
        <v>6</v>
      </c>
      <c r="B21" s="69" t="s">
        <v>1570</v>
      </c>
      <c r="C21" s="69">
        <v>242518221007</v>
      </c>
      <c r="D21" s="68" t="s">
        <v>28</v>
      </c>
      <c r="E21" s="70" t="s">
        <v>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9"/>
      <c r="Z21" s="9"/>
    </row>
    <row r="22" spans="1:32" ht="15.75" customHeight="1">
      <c r="A22" s="71">
        <v>7</v>
      </c>
      <c r="B22" s="69" t="s">
        <v>1571</v>
      </c>
      <c r="C22" s="69">
        <v>242518221009</v>
      </c>
      <c r="D22" s="68" t="s">
        <v>29</v>
      </c>
      <c r="E22" s="70" t="s">
        <v>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9"/>
      <c r="Z22" s="9"/>
    </row>
    <row r="23" spans="1:32" ht="15.75" customHeight="1">
      <c r="A23" s="71">
        <v>8</v>
      </c>
      <c r="B23" s="69" t="s">
        <v>1572</v>
      </c>
      <c r="C23" s="69">
        <v>242518221010</v>
      </c>
      <c r="D23" s="68" t="s">
        <v>30</v>
      </c>
      <c r="E23" s="70" t="s">
        <v>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9"/>
      <c r="Z23" s="9"/>
    </row>
    <row r="24" spans="1:32" ht="15.75" customHeight="1">
      <c r="A24" s="71">
        <v>9</v>
      </c>
      <c r="B24" s="69" t="s">
        <v>1573</v>
      </c>
      <c r="C24" s="69">
        <v>242518221011</v>
      </c>
      <c r="D24" s="68" t="s">
        <v>31</v>
      </c>
      <c r="E24" s="70" t="s">
        <v>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9"/>
      <c r="Z24" s="9"/>
    </row>
    <row r="25" spans="1:32" ht="15.75" customHeight="1">
      <c r="A25" s="71">
        <v>10</v>
      </c>
      <c r="B25" s="69" t="s">
        <v>1574</v>
      </c>
      <c r="C25" s="69">
        <v>242518221012</v>
      </c>
      <c r="D25" s="68" t="s">
        <v>32</v>
      </c>
      <c r="E25" s="70" t="s">
        <v>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9"/>
      <c r="Z25" s="9"/>
    </row>
    <row r="26" spans="1:32" ht="15.75" customHeight="1">
      <c r="A26" s="71">
        <v>11</v>
      </c>
      <c r="B26" s="69" t="s">
        <v>1575</v>
      </c>
      <c r="C26" s="69">
        <v>242518221013</v>
      </c>
      <c r="D26" s="68" t="s">
        <v>33</v>
      </c>
      <c r="E26" s="70" t="s">
        <v>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9"/>
      <c r="Z26" s="9"/>
    </row>
    <row r="27" spans="1:32" ht="15.75" customHeight="1">
      <c r="A27" s="71">
        <v>12</v>
      </c>
      <c r="B27" s="69" t="s">
        <v>1576</v>
      </c>
      <c r="C27" s="69">
        <v>242518221014</v>
      </c>
      <c r="D27" s="68" t="s">
        <v>34</v>
      </c>
      <c r="E27" s="70" t="s">
        <v>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9"/>
      <c r="Z27" s="9"/>
    </row>
    <row r="28" spans="1:32" ht="15.75" customHeight="1">
      <c r="A28" s="71">
        <v>13</v>
      </c>
      <c r="B28" s="69" t="s">
        <v>1577</v>
      </c>
      <c r="C28" s="69">
        <v>242518221015</v>
      </c>
      <c r="D28" s="68" t="s">
        <v>35</v>
      </c>
      <c r="E28" s="70" t="s">
        <v>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9"/>
      <c r="Z28" s="9"/>
    </row>
    <row r="29" spans="1:32" ht="15.75" customHeight="1">
      <c r="A29" s="71">
        <v>14</v>
      </c>
      <c r="B29" s="69" t="s">
        <v>1578</v>
      </c>
      <c r="C29" s="69">
        <v>242518221017</v>
      </c>
      <c r="D29" s="68" t="s">
        <v>36</v>
      </c>
      <c r="E29" s="70" t="s">
        <v>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9"/>
      <c r="Z29" s="9"/>
    </row>
    <row r="30" spans="1:32" ht="15.75" customHeight="1">
      <c r="A30" s="71">
        <v>15</v>
      </c>
      <c r="B30" s="69" t="s">
        <v>1579</v>
      </c>
      <c r="C30" s="69">
        <v>242518221018</v>
      </c>
      <c r="D30" s="68" t="s">
        <v>37</v>
      </c>
      <c r="E30" s="70" t="s">
        <v>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9"/>
      <c r="Z30" s="9"/>
    </row>
    <row r="31" spans="1:32" ht="15.75" customHeight="1">
      <c r="A31" s="71">
        <v>16</v>
      </c>
      <c r="B31" s="69" t="s">
        <v>1580</v>
      </c>
      <c r="C31" s="69">
        <v>242518221019</v>
      </c>
      <c r="D31" s="68" t="s">
        <v>38</v>
      </c>
      <c r="E31" s="70" t="s">
        <v>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9"/>
      <c r="Z31" s="9"/>
    </row>
    <row r="32" spans="1:32" ht="15.75" customHeight="1">
      <c r="A32" s="71">
        <v>17</v>
      </c>
      <c r="B32" s="69" t="s">
        <v>1581</v>
      </c>
      <c r="C32" s="69">
        <v>242518221020</v>
      </c>
      <c r="D32" s="68" t="s">
        <v>39</v>
      </c>
      <c r="E32" s="70" t="s">
        <v>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9"/>
      <c r="Z32" s="9"/>
    </row>
    <row r="33" spans="1:29" ht="15.75" customHeight="1">
      <c r="A33" s="71">
        <v>18</v>
      </c>
      <c r="B33" s="69" t="s">
        <v>1582</v>
      </c>
      <c r="C33" s="69">
        <v>242518221021</v>
      </c>
      <c r="D33" s="68" t="s">
        <v>843</v>
      </c>
      <c r="E33" s="70" t="s">
        <v>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9"/>
      <c r="Z33" s="9"/>
    </row>
    <row r="34" spans="1:29" ht="15.75" customHeight="1">
      <c r="A34" s="71">
        <v>19</v>
      </c>
      <c r="B34" s="69" t="s">
        <v>1583</v>
      </c>
      <c r="C34" s="69">
        <v>242518221022</v>
      </c>
      <c r="D34" s="68" t="s">
        <v>40</v>
      </c>
      <c r="E34" s="70" t="s">
        <v>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9"/>
      <c r="Z34" s="9"/>
    </row>
    <row r="35" spans="1:29" ht="15.75" customHeight="1">
      <c r="A35" s="71">
        <v>20</v>
      </c>
      <c r="B35" s="69" t="s">
        <v>1584</v>
      </c>
      <c r="C35" s="69">
        <v>242518221024</v>
      </c>
      <c r="D35" s="68" t="s">
        <v>41</v>
      </c>
      <c r="E35" s="70" t="s">
        <v>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9"/>
      <c r="Z35" s="9"/>
    </row>
    <row r="36" spans="1:29" ht="15.75" customHeight="1">
      <c r="A36" s="71">
        <v>21</v>
      </c>
      <c r="B36" s="69" t="s">
        <v>1585</v>
      </c>
      <c r="C36" s="69">
        <v>242518221026</v>
      </c>
      <c r="D36" s="68" t="s">
        <v>42</v>
      </c>
      <c r="E36" s="70" t="s">
        <v>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9"/>
      <c r="Z36" s="9"/>
    </row>
    <row r="37" spans="1:29" ht="15.75" customHeight="1">
      <c r="A37" s="71">
        <v>22</v>
      </c>
      <c r="B37" s="69" t="s">
        <v>1586</v>
      </c>
      <c r="C37" s="69">
        <v>242518221027</v>
      </c>
      <c r="D37" s="68" t="s">
        <v>43</v>
      </c>
      <c r="E37" s="70" t="s">
        <v>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9"/>
      <c r="Z37" s="9"/>
    </row>
    <row r="38" spans="1:29" ht="15.75" customHeight="1">
      <c r="A38" s="71">
        <v>23</v>
      </c>
      <c r="B38" s="69" t="s">
        <v>1587</v>
      </c>
      <c r="C38" s="69">
        <v>242518221028</v>
      </c>
      <c r="D38" s="68" t="s">
        <v>44</v>
      </c>
      <c r="E38" s="70" t="s">
        <v>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9"/>
      <c r="Z38" s="9"/>
    </row>
    <row r="39" spans="1:29" ht="15.75" customHeight="1">
      <c r="A39" s="71">
        <v>24</v>
      </c>
      <c r="B39" s="69" t="s">
        <v>1588</v>
      </c>
      <c r="C39" s="69">
        <v>242518221029</v>
      </c>
      <c r="D39" s="68" t="s">
        <v>1589</v>
      </c>
      <c r="E39" s="70" t="s">
        <v>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9"/>
      <c r="Z39" s="9"/>
      <c r="AB39" s="39"/>
      <c r="AC39" s="40"/>
    </row>
    <row r="40" spans="1:29" s="112" customFormat="1" ht="15.75" customHeight="1">
      <c r="A40" s="115">
        <v>25</v>
      </c>
      <c r="B40" s="107" t="s">
        <v>1590</v>
      </c>
      <c r="C40" s="107">
        <v>242518221030</v>
      </c>
      <c r="D40" s="108" t="s">
        <v>45</v>
      </c>
      <c r="E40" s="116" t="s">
        <v>9</v>
      </c>
      <c r="F40" s="119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1"/>
      <c r="Z40" s="111"/>
    </row>
    <row r="41" spans="1:29" ht="15.75" customHeight="1">
      <c r="A41" s="71">
        <v>26</v>
      </c>
      <c r="B41" s="69" t="s">
        <v>1591</v>
      </c>
      <c r="C41" s="69">
        <v>242518221031</v>
      </c>
      <c r="D41" s="68" t="s">
        <v>46</v>
      </c>
      <c r="E41" s="70" t="s">
        <v>9</v>
      </c>
      <c r="F41" s="1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9" ht="15.75" customHeight="1">
      <c r="A42" s="71">
        <v>27</v>
      </c>
      <c r="B42" s="69" t="s">
        <v>1592</v>
      </c>
      <c r="C42" s="69">
        <v>242518221032</v>
      </c>
      <c r="D42" s="68" t="s">
        <v>47</v>
      </c>
      <c r="E42" s="70" t="s">
        <v>9</v>
      </c>
      <c r="F42" s="1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9" ht="15.75" customHeight="1">
      <c r="A43" s="71">
        <v>28</v>
      </c>
      <c r="B43" s="69" t="s">
        <v>1593</v>
      </c>
      <c r="C43" s="69">
        <v>242518221033</v>
      </c>
      <c r="D43" s="68" t="s">
        <v>48</v>
      </c>
      <c r="E43" s="70" t="s">
        <v>9</v>
      </c>
      <c r="F43" s="1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9" ht="15.75" customHeight="1">
      <c r="A44" s="71">
        <v>29</v>
      </c>
      <c r="B44" s="69" t="s">
        <v>1594</v>
      </c>
      <c r="C44" s="69">
        <v>242518221034</v>
      </c>
      <c r="D44" s="68" t="s">
        <v>1595</v>
      </c>
      <c r="E44" s="70" t="s">
        <v>9</v>
      </c>
      <c r="F44" s="11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9" ht="15.75" customHeight="1">
      <c r="A45" s="71">
        <v>30</v>
      </c>
      <c r="B45" s="69" t="s">
        <v>1596</v>
      </c>
      <c r="C45" s="69">
        <v>242518221035</v>
      </c>
      <c r="D45" s="68" t="s">
        <v>49</v>
      </c>
      <c r="E45" s="70" t="s">
        <v>9</v>
      </c>
      <c r="F45" s="11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9" ht="15.75" customHeight="1">
      <c r="A46" s="71">
        <v>31</v>
      </c>
      <c r="B46" s="69" t="s">
        <v>1597</v>
      </c>
      <c r="C46" s="69">
        <v>242518221036</v>
      </c>
      <c r="D46" s="68" t="s">
        <v>50</v>
      </c>
      <c r="E46" s="70" t="s">
        <v>9</v>
      </c>
      <c r="F46" s="11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9">
      <c r="A47" s="222" t="s">
        <v>864</v>
      </c>
      <c r="B47" s="223"/>
      <c r="C47" s="224"/>
      <c r="D47" s="225"/>
      <c r="E47" s="46">
        <v>31</v>
      </c>
      <c r="G47" s="7"/>
      <c r="H47" s="7"/>
    </row>
    <row r="48" spans="1:29">
      <c r="A48" s="222" t="s">
        <v>10</v>
      </c>
      <c r="B48" s="223"/>
      <c r="C48" s="224"/>
      <c r="D48" s="225"/>
      <c r="E48" s="41">
        <f>COUNTIF(E16:E46,"L")</f>
        <v>31</v>
      </c>
      <c r="G48" s="2"/>
    </row>
    <row r="49" spans="1:25">
      <c r="A49" s="222" t="s">
        <v>11</v>
      </c>
      <c r="B49" s="223"/>
      <c r="C49" s="224"/>
      <c r="D49" s="225"/>
      <c r="E49" s="41">
        <f>COUNTIF(E16:E46,"P")</f>
        <v>0</v>
      </c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1"/>
      <c r="S49" s="2"/>
      <c r="T49" s="2"/>
      <c r="U49" s="2"/>
      <c r="V49" s="2"/>
      <c r="W49" s="2"/>
      <c r="X49" s="3"/>
      <c r="Y49" s="2"/>
    </row>
    <row r="50" spans="1:25">
      <c r="A50" s="3"/>
      <c r="B50" s="3"/>
      <c r="C50" s="3"/>
      <c r="D50" s="47"/>
      <c r="E50" s="41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1"/>
      <c r="S50" s="2"/>
      <c r="T50" s="2"/>
      <c r="U50" s="2"/>
      <c r="V50" s="2"/>
      <c r="W50" s="2"/>
      <c r="X50" s="3"/>
      <c r="Y50" s="2"/>
    </row>
    <row r="51" spans="1:25">
      <c r="A51" s="1" t="s">
        <v>12</v>
      </c>
      <c r="B51" s="1"/>
      <c r="C51" s="1"/>
      <c r="D51" s="1"/>
      <c r="E51" s="1"/>
      <c r="F51" s="2"/>
      <c r="G51" s="2"/>
      <c r="H51" s="2"/>
      <c r="I51" s="3"/>
      <c r="J51" s="3"/>
      <c r="K51" s="3"/>
      <c r="L51" s="3"/>
      <c r="M51" s="3"/>
      <c r="N51" s="3"/>
      <c r="O51" s="3"/>
      <c r="P51" s="1" t="s">
        <v>1605</v>
      </c>
      <c r="Q51" s="2"/>
      <c r="T51" s="2"/>
      <c r="U51" s="2"/>
      <c r="V51" s="2"/>
      <c r="W51" s="2"/>
      <c r="X51" s="3"/>
      <c r="Y51" s="2"/>
    </row>
    <row r="52" spans="1:25">
      <c r="A52" s="1" t="s">
        <v>13</v>
      </c>
      <c r="B52" s="1"/>
      <c r="C52" s="1"/>
      <c r="D52" s="1"/>
      <c r="E52" s="1"/>
      <c r="F52" s="3"/>
      <c r="G52" s="3"/>
      <c r="H52" s="3"/>
      <c r="I52" s="3"/>
      <c r="J52" s="3"/>
      <c r="K52" s="3"/>
      <c r="L52" s="3"/>
      <c r="M52" s="3"/>
      <c r="N52" s="3"/>
      <c r="O52" s="3"/>
      <c r="P52" s="1" t="s">
        <v>14</v>
      </c>
      <c r="Q52" s="3"/>
      <c r="S52" s="2"/>
      <c r="T52" s="2"/>
      <c r="U52" s="2"/>
      <c r="V52" s="2"/>
      <c r="W52" s="2"/>
      <c r="X52" s="3"/>
      <c r="Y52" s="2"/>
    </row>
    <row r="53" spans="1:25">
      <c r="A53" s="1"/>
      <c r="B53" s="1"/>
      <c r="C53" s="1"/>
      <c r="D53" s="1"/>
      <c r="E53" s="1"/>
      <c r="F53" s="3"/>
      <c r="G53" s="3"/>
      <c r="H53" s="3"/>
      <c r="I53" s="3"/>
      <c r="J53" s="3"/>
      <c r="K53" s="3"/>
      <c r="L53" s="3"/>
      <c r="M53" s="3"/>
      <c r="N53" s="3"/>
      <c r="O53" s="3"/>
      <c r="P53" s="1"/>
      <c r="Q53" s="3"/>
      <c r="S53" s="2"/>
      <c r="T53" s="2"/>
      <c r="U53" s="2"/>
      <c r="V53" s="2"/>
      <c r="W53" s="2"/>
      <c r="X53" s="3"/>
      <c r="Y53" s="2"/>
    </row>
    <row r="54" spans="1:25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S54" s="2"/>
      <c r="T54" s="2"/>
      <c r="U54" s="2"/>
      <c r="V54" s="2"/>
      <c r="W54" s="2"/>
      <c r="X54" s="2"/>
      <c r="Y54" s="2"/>
    </row>
    <row r="55" spans="1:25" ht="15.75">
      <c r="A55" s="8" t="s">
        <v>854</v>
      </c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8" t="s">
        <v>16</v>
      </c>
      <c r="Q55" s="8"/>
      <c r="S55" s="2"/>
      <c r="T55" s="9"/>
      <c r="U55" s="9"/>
      <c r="V55" s="9"/>
      <c r="W55" s="9"/>
      <c r="X55" s="9"/>
      <c r="Y55" s="9"/>
    </row>
    <row r="56" spans="1:25" ht="15.75">
      <c r="A56" s="8" t="s">
        <v>855</v>
      </c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8" t="s">
        <v>17</v>
      </c>
      <c r="Q56" s="2"/>
      <c r="T56" s="9"/>
      <c r="U56" s="9"/>
      <c r="V56" s="9"/>
    </row>
    <row r="57" spans="1:25" ht="15.75">
      <c r="A57" s="8"/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8"/>
      <c r="Q57" s="2"/>
      <c r="T57" s="9"/>
      <c r="U57" s="9"/>
      <c r="V57" s="9"/>
    </row>
    <row r="58" spans="1:25" ht="15.75">
      <c r="A58" s="8"/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8"/>
      <c r="Q58" s="2"/>
      <c r="T58" s="9"/>
      <c r="U58" s="9"/>
      <c r="V58" s="9"/>
    </row>
    <row r="66" spans="1:25" ht="15.75">
      <c r="A66" s="211" t="s">
        <v>132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</row>
    <row r="67" spans="1:25" ht="15.75">
      <c r="A67" s="211" t="s">
        <v>0</v>
      </c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8"/>
    </row>
    <row r="68" spans="1:25" ht="15.75">
      <c r="Y68" s="8"/>
    </row>
    <row r="69" spans="1:25" ht="15.75">
      <c r="A69" s="21" t="s">
        <v>133</v>
      </c>
      <c r="B69" s="21"/>
      <c r="C69" s="22" t="s">
        <v>2633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>
      <c r="A70" s="226" t="s">
        <v>134</v>
      </c>
      <c r="B70" s="226"/>
      <c r="C70" s="15" t="s">
        <v>135</v>
      </c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 spans="1:25" ht="15.75">
      <c r="A71" s="212" t="s">
        <v>136</v>
      </c>
      <c r="B71" s="212"/>
      <c r="C71" s="212" t="s">
        <v>862</v>
      </c>
      <c r="D71" s="212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 spans="1:25">
      <c r="A72" s="24"/>
      <c r="B72" s="24"/>
      <c r="C72" s="24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</row>
    <row r="73" spans="1:25">
      <c r="A73" s="206" t="s">
        <v>1</v>
      </c>
      <c r="B73" s="206" t="s">
        <v>18</v>
      </c>
      <c r="C73" s="206" t="s">
        <v>2</v>
      </c>
      <c r="D73" s="206" t="s">
        <v>137</v>
      </c>
      <c r="E73" s="213" t="s">
        <v>3</v>
      </c>
      <c r="F73" s="208" t="s">
        <v>4</v>
      </c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10"/>
      <c r="V73" s="208" t="s">
        <v>5</v>
      </c>
      <c r="W73" s="209"/>
      <c r="X73" s="210"/>
    </row>
    <row r="74" spans="1:25" ht="15.75">
      <c r="A74" s="207"/>
      <c r="B74" s="207"/>
      <c r="C74" s="207"/>
      <c r="D74" s="207"/>
      <c r="E74" s="214"/>
      <c r="F74" s="25">
        <v>1</v>
      </c>
      <c r="G74" s="25">
        <v>2</v>
      </c>
      <c r="H74" s="25">
        <v>3</v>
      </c>
      <c r="I74" s="25">
        <v>4</v>
      </c>
      <c r="J74" s="25">
        <v>5</v>
      </c>
      <c r="K74" s="25">
        <v>6</v>
      </c>
      <c r="L74" s="25">
        <v>7</v>
      </c>
      <c r="M74" s="25">
        <v>8</v>
      </c>
      <c r="N74" s="25">
        <v>9</v>
      </c>
      <c r="O74" s="25">
        <v>10</v>
      </c>
      <c r="P74" s="25">
        <v>11</v>
      </c>
      <c r="Q74" s="25">
        <v>12</v>
      </c>
      <c r="R74" s="25">
        <v>13</v>
      </c>
      <c r="S74" s="25">
        <v>14</v>
      </c>
      <c r="T74" s="25">
        <v>15</v>
      </c>
      <c r="U74" s="25">
        <v>16</v>
      </c>
      <c r="V74" s="25" t="s">
        <v>6</v>
      </c>
      <c r="W74" s="25" t="s">
        <v>7</v>
      </c>
      <c r="X74" s="25" t="s">
        <v>8</v>
      </c>
      <c r="Y74" s="9"/>
    </row>
    <row r="75" spans="1:25" ht="15.75">
      <c r="A75" s="71">
        <v>1</v>
      </c>
      <c r="B75" s="69" t="s">
        <v>1534</v>
      </c>
      <c r="C75" s="69">
        <v>2425182216037</v>
      </c>
      <c r="D75" s="68" t="s">
        <v>51</v>
      </c>
      <c r="E75" s="12" t="s">
        <v>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9"/>
    </row>
    <row r="76" spans="1:25" ht="15.75">
      <c r="A76" s="71">
        <v>2</v>
      </c>
      <c r="B76" s="69" t="s">
        <v>1535</v>
      </c>
      <c r="C76" s="69">
        <v>2425182216040</v>
      </c>
      <c r="D76" s="68" t="s">
        <v>52</v>
      </c>
      <c r="E76" s="12" t="s">
        <v>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9"/>
    </row>
    <row r="77" spans="1:25" ht="15.75">
      <c r="A77" s="71">
        <v>3</v>
      </c>
      <c r="B77" s="69" t="s">
        <v>1536</v>
      </c>
      <c r="C77" s="69">
        <v>2425182216041</v>
      </c>
      <c r="D77" s="68" t="s">
        <v>53</v>
      </c>
      <c r="E77" s="12" t="s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9"/>
    </row>
    <row r="78" spans="1:25" ht="15.75">
      <c r="A78" s="71">
        <v>4</v>
      </c>
      <c r="B78" s="69" t="s">
        <v>1537</v>
      </c>
      <c r="C78" s="69">
        <v>2425182216042</v>
      </c>
      <c r="D78" s="68" t="s">
        <v>54</v>
      </c>
      <c r="E78" s="12" t="s">
        <v>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9"/>
    </row>
    <row r="79" spans="1:25" ht="15.75">
      <c r="A79" s="71">
        <v>5</v>
      </c>
      <c r="B79" s="69" t="s">
        <v>1538</v>
      </c>
      <c r="C79" s="69">
        <v>2425182216043</v>
      </c>
      <c r="D79" s="68" t="s">
        <v>55</v>
      </c>
      <c r="E79" s="12" t="s">
        <v>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9"/>
    </row>
    <row r="80" spans="1:25" ht="15.75">
      <c r="A80" s="71">
        <v>6</v>
      </c>
      <c r="B80" s="69" t="s">
        <v>1539</v>
      </c>
      <c r="C80" s="69">
        <v>2425182216044</v>
      </c>
      <c r="D80" s="68" t="s">
        <v>56</v>
      </c>
      <c r="E80" s="12" t="s">
        <v>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9"/>
    </row>
    <row r="81" spans="1:25" ht="15.75">
      <c r="A81" s="71">
        <v>7</v>
      </c>
      <c r="B81" s="69" t="s">
        <v>1540</v>
      </c>
      <c r="C81" s="69">
        <v>2425182216045</v>
      </c>
      <c r="D81" s="68" t="s">
        <v>57</v>
      </c>
      <c r="E81" s="12" t="s">
        <v>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9"/>
    </row>
    <row r="82" spans="1:25" ht="15.75">
      <c r="A82" s="71">
        <v>8</v>
      </c>
      <c r="B82" s="69" t="s">
        <v>1541</v>
      </c>
      <c r="C82" s="69">
        <v>2425182216046</v>
      </c>
      <c r="D82" s="68" t="s">
        <v>58</v>
      </c>
      <c r="E82" s="12" t="s">
        <v>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9"/>
    </row>
    <row r="83" spans="1:25" ht="15.75">
      <c r="A83" s="71">
        <v>9</v>
      </c>
      <c r="B83" s="69" t="s">
        <v>1542</v>
      </c>
      <c r="C83" s="69">
        <v>2425182216047</v>
      </c>
      <c r="D83" s="68" t="s">
        <v>59</v>
      </c>
      <c r="E83" s="12" t="s">
        <v>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9"/>
    </row>
    <row r="84" spans="1:25" ht="15.75">
      <c r="A84" s="71">
        <v>10</v>
      </c>
      <c r="B84" s="69" t="s">
        <v>1543</v>
      </c>
      <c r="C84" s="69">
        <v>2425182216048</v>
      </c>
      <c r="D84" s="68" t="s">
        <v>60</v>
      </c>
      <c r="E84" s="12" t="s">
        <v>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9"/>
    </row>
    <row r="85" spans="1:25" ht="15.75">
      <c r="A85" s="71">
        <v>11</v>
      </c>
      <c r="B85" s="69" t="s">
        <v>1544</v>
      </c>
      <c r="C85" s="69">
        <v>2425182216049</v>
      </c>
      <c r="D85" s="68" t="s">
        <v>61</v>
      </c>
      <c r="E85" s="12" t="s">
        <v>9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9"/>
    </row>
    <row r="86" spans="1:25" ht="15.75">
      <c r="A86" s="71">
        <v>12</v>
      </c>
      <c r="B86" s="69" t="s">
        <v>1545</v>
      </c>
      <c r="C86" s="69">
        <v>2425182216051</v>
      </c>
      <c r="D86" s="68" t="s">
        <v>62</v>
      </c>
      <c r="E86" s="12" t="s">
        <v>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9"/>
    </row>
    <row r="87" spans="1:25" ht="15.75">
      <c r="A87" s="71">
        <v>13</v>
      </c>
      <c r="B87" s="69" t="s">
        <v>1546</v>
      </c>
      <c r="C87" s="69">
        <v>2425182216052</v>
      </c>
      <c r="D87" s="68" t="s">
        <v>844</v>
      </c>
      <c r="E87" s="12" t="s">
        <v>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9"/>
    </row>
    <row r="88" spans="1:25" ht="15.75">
      <c r="A88" s="71">
        <v>14</v>
      </c>
      <c r="B88" s="69" t="s">
        <v>1547</v>
      </c>
      <c r="C88" s="69">
        <v>2425182216053</v>
      </c>
      <c r="D88" s="68" t="s">
        <v>63</v>
      </c>
      <c r="E88" s="12" t="s">
        <v>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9"/>
    </row>
    <row r="89" spans="1:25" ht="15.75">
      <c r="A89" s="71">
        <v>15</v>
      </c>
      <c r="B89" s="69" t="s">
        <v>1548</v>
      </c>
      <c r="C89" s="69">
        <v>2425182216054</v>
      </c>
      <c r="D89" s="68" t="s">
        <v>64</v>
      </c>
      <c r="E89" s="12" t="s">
        <v>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9"/>
    </row>
    <row r="90" spans="1:25" ht="15.75">
      <c r="A90" s="71">
        <v>16</v>
      </c>
      <c r="B90" s="69" t="s">
        <v>1549</v>
      </c>
      <c r="C90" s="69">
        <v>2425182216055</v>
      </c>
      <c r="D90" s="68" t="s">
        <v>65</v>
      </c>
      <c r="E90" s="12" t="s">
        <v>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9"/>
    </row>
    <row r="91" spans="1:25" ht="15.75">
      <c r="A91" s="71">
        <v>17</v>
      </c>
      <c r="B91" s="69" t="s">
        <v>1550</v>
      </c>
      <c r="C91" s="69">
        <v>2425182216056</v>
      </c>
      <c r="D91" s="68" t="s">
        <v>66</v>
      </c>
      <c r="E91" s="12" t="s">
        <v>9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9"/>
    </row>
    <row r="92" spans="1:25" ht="15.75">
      <c r="A92" s="71">
        <v>18</v>
      </c>
      <c r="B92" s="69" t="s">
        <v>1551</v>
      </c>
      <c r="C92" s="69">
        <v>2425182216057</v>
      </c>
      <c r="D92" s="68" t="s">
        <v>67</v>
      </c>
      <c r="E92" s="12" t="s">
        <v>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9"/>
    </row>
    <row r="93" spans="1:25" ht="15.75">
      <c r="A93" s="71">
        <v>19</v>
      </c>
      <c r="B93" s="69" t="s">
        <v>1552</v>
      </c>
      <c r="C93" s="69">
        <v>2425182216058</v>
      </c>
      <c r="D93" s="68" t="s">
        <v>68</v>
      </c>
      <c r="E93" s="12" t="s">
        <v>9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9"/>
    </row>
    <row r="94" spans="1:25" ht="15.75">
      <c r="A94" s="71">
        <v>20</v>
      </c>
      <c r="B94" s="69" t="s">
        <v>1553</v>
      </c>
      <c r="C94" s="69">
        <v>2425182216059</v>
      </c>
      <c r="D94" s="68" t="s">
        <v>69</v>
      </c>
      <c r="E94" s="12" t="s">
        <v>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9"/>
    </row>
    <row r="95" spans="1:25" ht="15.75">
      <c r="A95" s="71">
        <v>21</v>
      </c>
      <c r="B95" s="69" t="s">
        <v>1554</v>
      </c>
      <c r="C95" s="69">
        <v>2425182216060</v>
      </c>
      <c r="D95" s="68" t="s">
        <v>70</v>
      </c>
      <c r="E95" s="12" t="s">
        <v>9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9"/>
    </row>
    <row r="96" spans="1:25" ht="15.75">
      <c r="A96" s="71">
        <v>22</v>
      </c>
      <c r="B96" s="69" t="s">
        <v>1555</v>
      </c>
      <c r="C96" s="69">
        <v>2425182216061</v>
      </c>
      <c r="D96" s="68" t="s">
        <v>71</v>
      </c>
      <c r="E96" s="12" t="s">
        <v>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9"/>
    </row>
    <row r="97" spans="1:25" ht="15.75">
      <c r="A97" s="71">
        <v>23</v>
      </c>
      <c r="B97" s="69" t="s">
        <v>1556</v>
      </c>
      <c r="C97" s="69">
        <v>2425182216062</v>
      </c>
      <c r="D97" s="68" t="s">
        <v>72</v>
      </c>
      <c r="E97" s="12" t="s">
        <v>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9"/>
    </row>
    <row r="98" spans="1:25" ht="15.75">
      <c r="A98" s="71">
        <v>24</v>
      </c>
      <c r="B98" s="69" t="s">
        <v>1557</v>
      </c>
      <c r="C98" s="69">
        <v>2425182216063</v>
      </c>
      <c r="D98" s="68" t="s">
        <v>73</v>
      </c>
      <c r="E98" s="12" t="s">
        <v>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9"/>
    </row>
    <row r="99" spans="1:25" ht="15.75">
      <c r="A99" s="115">
        <v>25</v>
      </c>
      <c r="B99" s="107" t="s">
        <v>1558</v>
      </c>
      <c r="C99" s="107">
        <v>2425182216065</v>
      </c>
      <c r="D99" s="108" t="s">
        <v>74</v>
      </c>
      <c r="E99" s="177" t="s">
        <v>9</v>
      </c>
      <c r="F99" s="11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9"/>
    </row>
    <row r="100" spans="1:25" ht="15.75">
      <c r="A100" s="115">
        <v>26</v>
      </c>
      <c r="B100" s="107" t="s">
        <v>1559</v>
      </c>
      <c r="C100" s="107">
        <v>2425182216066</v>
      </c>
      <c r="D100" s="108" t="s">
        <v>75</v>
      </c>
      <c r="E100" s="177" t="s">
        <v>9</v>
      </c>
      <c r="F100" s="11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9"/>
    </row>
    <row r="101" spans="1:25">
      <c r="A101" s="115">
        <v>27</v>
      </c>
      <c r="B101" s="107" t="s">
        <v>1560</v>
      </c>
      <c r="C101" s="107">
        <v>2425182216067</v>
      </c>
      <c r="D101" s="108" t="s">
        <v>76</v>
      </c>
      <c r="E101" s="177" t="s">
        <v>9</v>
      </c>
      <c r="F101" s="11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5">
      <c r="A102" s="115">
        <v>28</v>
      </c>
      <c r="B102" s="107" t="s">
        <v>1561</v>
      </c>
      <c r="C102" s="107">
        <v>2425182216068</v>
      </c>
      <c r="D102" s="108" t="s">
        <v>77</v>
      </c>
      <c r="E102" s="177" t="s">
        <v>9</v>
      </c>
      <c r="F102" s="11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5">
      <c r="A103" s="115">
        <v>29</v>
      </c>
      <c r="B103" s="107" t="s">
        <v>1562</v>
      </c>
      <c r="C103" s="107">
        <v>2425182216070</v>
      </c>
      <c r="D103" s="108" t="s">
        <v>78</v>
      </c>
      <c r="E103" s="177" t="s">
        <v>9</v>
      </c>
      <c r="F103" s="11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5">
      <c r="A104" s="115">
        <v>30</v>
      </c>
      <c r="B104" s="107" t="s">
        <v>1563</v>
      </c>
      <c r="C104" s="107">
        <v>2425182216071</v>
      </c>
      <c r="D104" s="108" t="s">
        <v>79</v>
      </c>
      <c r="E104" s="177" t="s">
        <v>9</v>
      </c>
      <c r="F104" s="11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5">
      <c r="A105" s="115">
        <v>31</v>
      </c>
      <c r="B105" s="107" t="s">
        <v>1564</v>
      </c>
      <c r="C105" s="107">
        <v>2425182216072</v>
      </c>
      <c r="D105" s="108" t="s">
        <v>845</v>
      </c>
      <c r="E105" s="177" t="s">
        <v>9</v>
      </c>
      <c r="F105" s="1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5">
      <c r="A106" s="72"/>
      <c r="B106" s="73"/>
      <c r="C106" s="73"/>
      <c r="D106" s="74"/>
      <c r="E106">
        <v>31</v>
      </c>
      <c r="F106" s="7"/>
      <c r="G106" s="7"/>
    </row>
    <row r="107" spans="1:25">
      <c r="A107" s="3"/>
      <c r="B107" s="3"/>
      <c r="C107" s="43" t="s">
        <v>10</v>
      </c>
      <c r="D107" s="41"/>
      <c r="E107">
        <v>31</v>
      </c>
      <c r="F107" s="2"/>
    </row>
    <row r="108" spans="1:25">
      <c r="A108" s="3"/>
      <c r="B108" s="3"/>
      <c r="C108" s="43" t="s">
        <v>11</v>
      </c>
      <c r="D108" s="41"/>
      <c r="E108">
        <v>0</v>
      </c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2"/>
      <c r="S108" s="2"/>
      <c r="T108" s="2"/>
      <c r="U108" s="2"/>
      <c r="V108" s="2"/>
      <c r="W108" s="3"/>
      <c r="X108" s="2"/>
    </row>
    <row r="109" spans="1:25">
      <c r="A109" s="3"/>
      <c r="B109" s="3"/>
      <c r="C109" s="43"/>
      <c r="D109" s="41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2"/>
      <c r="S109" s="2"/>
      <c r="T109" s="2"/>
      <c r="U109" s="2"/>
      <c r="V109" s="2"/>
      <c r="W109" s="3"/>
      <c r="X109" s="2"/>
    </row>
    <row r="110" spans="1:25">
      <c r="A110" s="1" t="s">
        <v>12</v>
      </c>
      <c r="B110" s="1"/>
      <c r="C110" s="1"/>
      <c r="D110" s="1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1" t="s">
        <v>1605</v>
      </c>
      <c r="P110" s="2"/>
      <c r="S110" s="2"/>
      <c r="T110" s="2"/>
      <c r="U110" s="2"/>
      <c r="V110" s="2"/>
      <c r="W110" s="3"/>
      <c r="X110" s="2"/>
    </row>
    <row r="111" spans="1:25">
      <c r="A111" s="1" t="s">
        <v>13</v>
      </c>
      <c r="B111" s="1"/>
      <c r="C111" s="1"/>
      <c r="D111" s="1"/>
      <c r="E111" s="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" t="s">
        <v>14</v>
      </c>
      <c r="Q111" s="3"/>
      <c r="S111" s="2"/>
      <c r="T111" s="2"/>
      <c r="U111" s="2"/>
      <c r="V111" s="2"/>
      <c r="W111" s="2"/>
      <c r="X111" s="3"/>
      <c r="Y111" s="2"/>
    </row>
    <row r="112" spans="1:25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"/>
      <c r="Q112" s="3"/>
      <c r="S112" s="2"/>
      <c r="T112" s="2"/>
      <c r="U112" s="2"/>
      <c r="V112" s="2"/>
      <c r="W112" s="2"/>
      <c r="X112" s="3"/>
      <c r="Y112" s="2"/>
    </row>
    <row r="113" spans="1:25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S113" s="2"/>
      <c r="T113" s="2"/>
      <c r="U113" s="2"/>
      <c r="V113" s="2"/>
      <c r="W113" s="2"/>
      <c r="X113" s="2"/>
      <c r="Y113" s="2"/>
    </row>
    <row r="114" spans="1:25" ht="15.75">
      <c r="A114" s="8" t="s">
        <v>854</v>
      </c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8" t="s">
        <v>16</v>
      </c>
      <c r="Q114" s="8"/>
      <c r="S114" s="2"/>
      <c r="T114" s="9"/>
      <c r="U114" s="9"/>
      <c r="V114" s="9"/>
      <c r="W114" s="9"/>
      <c r="X114" s="9"/>
      <c r="Y114" s="9"/>
    </row>
    <row r="115" spans="1:25" ht="15.75">
      <c r="A115" s="8" t="s">
        <v>855</v>
      </c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8" t="s">
        <v>17</v>
      </c>
      <c r="Q115" s="2"/>
      <c r="T115" s="9"/>
      <c r="U115" s="9"/>
      <c r="V115" s="9"/>
    </row>
    <row r="116" spans="1:25" ht="15.75">
      <c r="A116" s="8"/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8"/>
      <c r="Q116" s="2"/>
      <c r="T116" s="9"/>
      <c r="U116" s="9"/>
      <c r="V116" s="9"/>
    </row>
    <row r="117" spans="1:25" ht="15.75">
      <c r="A117" s="8"/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8"/>
      <c r="Q117" s="2"/>
      <c r="T117" s="9"/>
      <c r="U117" s="9"/>
      <c r="V117" s="9"/>
    </row>
    <row r="118" spans="1:25" ht="15.75">
      <c r="A118" s="8"/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8"/>
      <c r="Q118" s="2"/>
      <c r="T118" s="9"/>
      <c r="U118" s="9"/>
      <c r="V118" s="9"/>
    </row>
    <row r="125" spans="1:25" ht="15.75">
      <c r="A125" s="211" t="s">
        <v>132</v>
      </c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</row>
    <row r="126" spans="1:25" ht="15.75">
      <c r="A126" s="211" t="s">
        <v>0</v>
      </c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8"/>
    </row>
    <row r="127" spans="1:25" ht="15.75">
      <c r="Y127" s="8"/>
    </row>
    <row r="128" spans="1:25" ht="15.75">
      <c r="A128" s="21" t="s">
        <v>133</v>
      </c>
      <c r="B128" s="21"/>
      <c r="C128" s="22" t="s">
        <v>2632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>
      <c r="A129" s="226" t="s">
        <v>134</v>
      </c>
      <c r="B129" s="226"/>
      <c r="C129" s="15" t="s">
        <v>135</v>
      </c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</row>
    <row r="130" spans="1:25" ht="15.75">
      <c r="A130" s="212" t="s">
        <v>136</v>
      </c>
      <c r="B130" s="212"/>
      <c r="C130" s="22" t="s">
        <v>861</v>
      </c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</row>
    <row r="131" spans="1:25">
      <c r="A131" s="24"/>
      <c r="B131" s="24"/>
      <c r="C131" s="24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</row>
    <row r="132" spans="1:25">
      <c r="A132" s="206" t="s">
        <v>1</v>
      </c>
      <c r="B132" s="206" t="s">
        <v>18</v>
      </c>
      <c r="C132" s="206" t="s">
        <v>2</v>
      </c>
      <c r="D132" s="206" t="s">
        <v>137</v>
      </c>
      <c r="E132" s="213" t="s">
        <v>3</v>
      </c>
      <c r="F132" s="208" t="s">
        <v>4</v>
      </c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10"/>
      <c r="V132" s="208" t="s">
        <v>5</v>
      </c>
      <c r="W132" s="209"/>
      <c r="X132" s="210"/>
    </row>
    <row r="133" spans="1:25" ht="15.75">
      <c r="A133" s="207"/>
      <c r="B133" s="207"/>
      <c r="C133" s="207"/>
      <c r="D133" s="207"/>
      <c r="E133" s="214"/>
      <c r="F133" s="25">
        <v>1</v>
      </c>
      <c r="G133" s="25">
        <v>2</v>
      </c>
      <c r="H133" s="25">
        <v>3</v>
      </c>
      <c r="I133" s="25">
        <v>4</v>
      </c>
      <c r="J133" s="25">
        <v>5</v>
      </c>
      <c r="K133" s="25">
        <v>6</v>
      </c>
      <c r="L133" s="25">
        <v>7</v>
      </c>
      <c r="M133" s="25">
        <v>8</v>
      </c>
      <c r="N133" s="25">
        <v>9</v>
      </c>
      <c r="O133" s="25">
        <v>10</v>
      </c>
      <c r="P133" s="25">
        <v>11</v>
      </c>
      <c r="Q133" s="25">
        <v>12</v>
      </c>
      <c r="R133" s="25">
        <v>13</v>
      </c>
      <c r="S133" s="25">
        <v>14</v>
      </c>
      <c r="T133" s="25">
        <v>15</v>
      </c>
      <c r="U133" s="25">
        <v>16</v>
      </c>
      <c r="V133" s="25" t="s">
        <v>6</v>
      </c>
      <c r="W133" s="25" t="s">
        <v>7</v>
      </c>
      <c r="X133" s="25" t="s">
        <v>8</v>
      </c>
      <c r="Y133" s="9"/>
    </row>
    <row r="134" spans="1:25" ht="15.75">
      <c r="A134" s="71">
        <v>1</v>
      </c>
      <c r="B134" s="69" t="s">
        <v>1504</v>
      </c>
      <c r="C134" s="69">
        <v>2425182216073</v>
      </c>
      <c r="D134" s="68" t="s">
        <v>80</v>
      </c>
      <c r="E134" s="70" t="s">
        <v>9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9"/>
    </row>
    <row r="135" spans="1:25" ht="15.75">
      <c r="A135" s="71">
        <v>2</v>
      </c>
      <c r="B135" s="69" t="s">
        <v>1505</v>
      </c>
      <c r="C135" s="69">
        <v>2425182216074</v>
      </c>
      <c r="D135" s="68" t="s">
        <v>81</v>
      </c>
      <c r="E135" s="70" t="s">
        <v>9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9"/>
    </row>
    <row r="136" spans="1:25" ht="15.75">
      <c r="A136" s="71">
        <v>3</v>
      </c>
      <c r="B136" s="69" t="s">
        <v>1506</v>
      </c>
      <c r="C136" s="69">
        <v>2425182216075</v>
      </c>
      <c r="D136" s="68" t="s">
        <v>82</v>
      </c>
      <c r="E136" s="70" t="s">
        <v>9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9"/>
    </row>
    <row r="137" spans="1:25" ht="15.75">
      <c r="A137" s="71">
        <v>4</v>
      </c>
      <c r="B137" s="69" t="s">
        <v>1507</v>
      </c>
      <c r="C137" s="69">
        <v>2425182216076</v>
      </c>
      <c r="D137" s="68" t="s">
        <v>83</v>
      </c>
      <c r="E137" s="70" t="s">
        <v>9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9"/>
    </row>
    <row r="138" spans="1:25" ht="15.75">
      <c r="A138" s="71">
        <v>5</v>
      </c>
      <c r="B138" s="69" t="s">
        <v>1508</v>
      </c>
      <c r="C138" s="69">
        <v>2425182216077</v>
      </c>
      <c r="D138" s="68" t="s">
        <v>84</v>
      </c>
      <c r="E138" s="70" t="s">
        <v>9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9"/>
    </row>
    <row r="139" spans="1:25" ht="15.75">
      <c r="A139" s="71">
        <v>6</v>
      </c>
      <c r="B139" s="69" t="s">
        <v>1509</v>
      </c>
      <c r="C139" s="69">
        <v>2425182216078</v>
      </c>
      <c r="D139" s="68" t="s">
        <v>846</v>
      </c>
      <c r="E139" s="70" t="s">
        <v>9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9"/>
    </row>
    <row r="140" spans="1:25" ht="15.75">
      <c r="A140" s="71">
        <v>7</v>
      </c>
      <c r="B140" s="69" t="s">
        <v>1510</v>
      </c>
      <c r="C140" s="69">
        <v>2425182216080</v>
      </c>
      <c r="D140" s="68" t="s">
        <v>85</v>
      </c>
      <c r="E140" s="70" t="s">
        <v>9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9"/>
    </row>
    <row r="141" spans="1:25" ht="15.75">
      <c r="A141" s="71">
        <v>8</v>
      </c>
      <c r="B141" s="69" t="s">
        <v>1511</v>
      </c>
      <c r="C141" s="69">
        <v>2425182216082</v>
      </c>
      <c r="D141" s="68" t="s">
        <v>86</v>
      </c>
      <c r="E141" s="70" t="s">
        <v>9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9"/>
    </row>
    <row r="142" spans="1:25" ht="15.75">
      <c r="A142" s="71">
        <v>9</v>
      </c>
      <c r="B142" s="69" t="s">
        <v>1512</v>
      </c>
      <c r="C142" s="69">
        <v>2425182216083</v>
      </c>
      <c r="D142" s="68" t="s">
        <v>87</v>
      </c>
      <c r="E142" s="70" t="s">
        <v>9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9"/>
    </row>
    <row r="143" spans="1:25" ht="15.75">
      <c r="A143" s="71">
        <v>10</v>
      </c>
      <c r="B143" s="69" t="s">
        <v>1513</v>
      </c>
      <c r="C143" s="69">
        <v>2425182216084</v>
      </c>
      <c r="D143" s="68" t="s">
        <v>88</v>
      </c>
      <c r="E143" s="70" t="s">
        <v>9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9"/>
    </row>
    <row r="144" spans="1:25" ht="15.75">
      <c r="A144" s="71">
        <v>11</v>
      </c>
      <c r="B144" s="69" t="s">
        <v>1514</v>
      </c>
      <c r="C144" s="69">
        <v>2425182216085</v>
      </c>
      <c r="D144" s="68" t="s">
        <v>89</v>
      </c>
      <c r="E144" s="70" t="s">
        <v>9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9"/>
    </row>
    <row r="145" spans="1:29" ht="15.75">
      <c r="A145" s="71">
        <v>12</v>
      </c>
      <c r="B145" s="69" t="s">
        <v>1515</v>
      </c>
      <c r="C145" s="69">
        <v>2425182216088</v>
      </c>
      <c r="D145" s="68" t="s">
        <v>90</v>
      </c>
      <c r="E145" s="70" t="s">
        <v>9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9"/>
    </row>
    <row r="146" spans="1:29" ht="15.75">
      <c r="A146" s="71">
        <v>13</v>
      </c>
      <c r="B146" s="69" t="s">
        <v>1516</v>
      </c>
      <c r="C146" s="69">
        <v>2425182216089</v>
      </c>
      <c r="D146" s="68" t="s">
        <v>91</v>
      </c>
      <c r="E146" s="70" t="s">
        <v>9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9"/>
    </row>
    <row r="147" spans="1:29" ht="15.75">
      <c r="A147" s="71">
        <v>14</v>
      </c>
      <c r="B147" s="69" t="s">
        <v>1517</v>
      </c>
      <c r="C147" s="69">
        <v>2425182216090</v>
      </c>
      <c r="D147" s="68" t="s">
        <v>92</v>
      </c>
      <c r="E147" s="70" t="s">
        <v>9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9"/>
    </row>
    <row r="148" spans="1:29" ht="15.75">
      <c r="A148" s="71">
        <v>15</v>
      </c>
      <c r="B148" s="69" t="s">
        <v>1518</v>
      </c>
      <c r="C148" s="69">
        <v>2425182216094</v>
      </c>
      <c r="D148" s="68" t="s">
        <v>95</v>
      </c>
      <c r="E148" s="70" t="s">
        <v>9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9"/>
    </row>
    <row r="149" spans="1:29" ht="15.75">
      <c r="A149" s="71">
        <v>16</v>
      </c>
      <c r="B149" s="69" t="s">
        <v>1519</v>
      </c>
      <c r="C149" s="69">
        <v>2425182216098</v>
      </c>
      <c r="D149" s="68" t="s">
        <v>847</v>
      </c>
      <c r="E149" s="70" t="s">
        <v>9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9"/>
    </row>
    <row r="150" spans="1:29" ht="15.75">
      <c r="A150" s="71">
        <v>17</v>
      </c>
      <c r="B150" s="69" t="s">
        <v>1520</v>
      </c>
      <c r="C150" s="69">
        <v>2425182216092</v>
      </c>
      <c r="D150" s="68" t="s">
        <v>93</v>
      </c>
      <c r="E150" s="70" t="s">
        <v>9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9"/>
    </row>
    <row r="151" spans="1:29" ht="15.75">
      <c r="A151" s="71">
        <v>18</v>
      </c>
      <c r="B151" s="69" t="s">
        <v>1521</v>
      </c>
      <c r="C151" s="69">
        <v>2425182216093</v>
      </c>
      <c r="D151" s="68" t="s">
        <v>94</v>
      </c>
      <c r="E151" s="70" t="s">
        <v>9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9"/>
    </row>
    <row r="152" spans="1:29" ht="15.75">
      <c r="A152" s="71">
        <v>19</v>
      </c>
      <c r="B152" s="69" t="s">
        <v>1522</v>
      </c>
      <c r="C152" s="69">
        <v>2425182216095</v>
      </c>
      <c r="D152" s="68" t="s">
        <v>848</v>
      </c>
      <c r="E152" s="70" t="s">
        <v>9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9"/>
      <c r="AC152" s="44"/>
    </row>
    <row r="153" spans="1:29" ht="15.75">
      <c r="A153" s="71">
        <v>20</v>
      </c>
      <c r="B153" s="69" t="s">
        <v>1523</v>
      </c>
      <c r="C153" s="69">
        <v>2425182216097</v>
      </c>
      <c r="D153" s="68" t="s">
        <v>849</v>
      </c>
      <c r="E153" s="70" t="s">
        <v>9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9"/>
    </row>
    <row r="154" spans="1:29" ht="15.75">
      <c r="A154" s="71">
        <v>21</v>
      </c>
      <c r="B154" s="69" t="s">
        <v>1524</v>
      </c>
      <c r="C154" s="69">
        <v>2425182216099</v>
      </c>
      <c r="D154" s="68" t="s">
        <v>96</v>
      </c>
      <c r="E154" s="70" t="s">
        <v>9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9"/>
    </row>
    <row r="155" spans="1:29" ht="15.75">
      <c r="A155" s="71">
        <v>22</v>
      </c>
      <c r="B155" s="69" t="s">
        <v>1525</v>
      </c>
      <c r="C155" s="69">
        <v>2425182216100</v>
      </c>
      <c r="D155" s="68" t="s">
        <v>97</v>
      </c>
      <c r="E155" s="70" t="s">
        <v>9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9"/>
    </row>
    <row r="156" spans="1:29" ht="15.75">
      <c r="A156" s="71">
        <v>23</v>
      </c>
      <c r="B156" s="69" t="s">
        <v>1526</v>
      </c>
      <c r="C156" s="69">
        <v>2425182216101</v>
      </c>
      <c r="D156" s="68" t="s">
        <v>98</v>
      </c>
      <c r="E156" s="70" t="s">
        <v>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9"/>
    </row>
    <row r="157" spans="1:29" ht="15.75">
      <c r="A157" s="71">
        <v>24</v>
      </c>
      <c r="B157" s="69" t="s">
        <v>1527</v>
      </c>
      <c r="C157" s="69">
        <v>2425182216102</v>
      </c>
      <c r="D157" s="68" t="s">
        <v>99</v>
      </c>
      <c r="E157" s="70" t="s">
        <v>9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9"/>
    </row>
    <row r="158" spans="1:29">
      <c r="A158" s="115">
        <v>25</v>
      </c>
      <c r="B158" s="107" t="s">
        <v>1528</v>
      </c>
      <c r="C158" s="107">
        <v>2425182216103</v>
      </c>
      <c r="D158" s="108" t="s">
        <v>100</v>
      </c>
      <c r="E158" s="70" t="s">
        <v>9</v>
      </c>
      <c r="F158" s="12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9">
      <c r="A159" s="115">
        <v>26</v>
      </c>
      <c r="B159" s="107" t="s">
        <v>1529</v>
      </c>
      <c r="C159" s="107">
        <v>2425182216104</v>
      </c>
      <c r="D159" s="108" t="s">
        <v>101</v>
      </c>
      <c r="E159" s="70" t="s">
        <v>9</v>
      </c>
      <c r="F159" s="12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9">
      <c r="A160" s="115">
        <v>27</v>
      </c>
      <c r="B160" s="107" t="s">
        <v>1530</v>
      </c>
      <c r="C160" s="107">
        <v>2425182216105</v>
      </c>
      <c r="D160" s="108" t="s">
        <v>850</v>
      </c>
      <c r="E160" s="70" t="s">
        <v>9</v>
      </c>
      <c r="F160" s="12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5">
      <c r="A161" s="115">
        <v>28</v>
      </c>
      <c r="B161" s="107" t="s">
        <v>1531</v>
      </c>
      <c r="C161" s="107">
        <v>2425182216106</v>
      </c>
      <c r="D161" s="108" t="s">
        <v>102</v>
      </c>
      <c r="E161" s="70" t="s">
        <v>9</v>
      </c>
      <c r="F161" s="12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5">
      <c r="A162" s="115">
        <v>29</v>
      </c>
      <c r="B162" s="107" t="s">
        <v>1532</v>
      </c>
      <c r="C162" s="107">
        <v>2425182216107</v>
      </c>
      <c r="D162" s="108" t="s">
        <v>103</v>
      </c>
      <c r="E162" s="70" t="s">
        <v>9</v>
      </c>
      <c r="F162" s="12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5">
      <c r="A163" s="115">
        <v>30</v>
      </c>
      <c r="B163" s="107" t="s">
        <v>1533</v>
      </c>
      <c r="C163" s="107">
        <v>2425182216108</v>
      </c>
      <c r="D163" s="108" t="s">
        <v>104</v>
      </c>
      <c r="E163" s="70" t="s">
        <v>9</v>
      </c>
      <c r="F163" s="1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5">
      <c r="A164" s="222" t="s">
        <v>864</v>
      </c>
      <c r="B164" s="223"/>
      <c r="C164" s="224"/>
      <c r="D164" s="225"/>
      <c r="E164" s="75">
        <v>30</v>
      </c>
      <c r="G164" s="7"/>
      <c r="H164" s="7"/>
    </row>
    <row r="165" spans="1:25">
      <c r="A165" s="222" t="s">
        <v>10</v>
      </c>
      <c r="B165" s="223"/>
      <c r="C165" s="224"/>
      <c r="D165" s="225"/>
      <c r="E165" s="41">
        <v>30</v>
      </c>
      <c r="G165" s="2"/>
    </row>
    <row r="166" spans="1:25">
      <c r="A166" s="222" t="s">
        <v>11</v>
      </c>
      <c r="B166" s="223"/>
      <c r="C166" s="224"/>
      <c r="D166" s="225"/>
      <c r="E166" s="41">
        <f>COUNTIF(E134:E163,"P")</f>
        <v>0</v>
      </c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1"/>
      <c r="S166" s="2"/>
      <c r="T166" s="2"/>
      <c r="U166" s="2"/>
      <c r="V166" s="2"/>
      <c r="W166" s="2"/>
      <c r="X166" s="3"/>
      <c r="Y166" s="2"/>
    </row>
    <row r="167" spans="1:25">
      <c r="A167" s="3"/>
      <c r="B167" s="3"/>
      <c r="C167" s="3"/>
      <c r="D167" s="43"/>
      <c r="E167" s="41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1"/>
      <c r="S167" s="2"/>
      <c r="T167" s="2"/>
      <c r="U167" s="2"/>
      <c r="V167" s="2"/>
      <c r="W167" s="2"/>
      <c r="X167" s="3"/>
      <c r="Y167" s="2"/>
    </row>
    <row r="168" spans="1:25">
      <c r="A168" s="1" t="s">
        <v>12</v>
      </c>
      <c r="B168" s="1"/>
      <c r="C168" s="1"/>
      <c r="D168" s="1"/>
      <c r="E168" s="1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1" t="s">
        <v>1605</v>
      </c>
      <c r="Q168" s="2"/>
      <c r="T168" s="2"/>
      <c r="U168" s="2"/>
      <c r="V168" s="2"/>
      <c r="W168" s="2"/>
      <c r="X168" s="3"/>
      <c r="Y168" s="2"/>
    </row>
    <row r="169" spans="1:25">
      <c r="A169" s="1" t="s">
        <v>13</v>
      </c>
      <c r="B169" s="1"/>
      <c r="C169" s="1"/>
      <c r="D169" s="1"/>
      <c r="E169" s="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" t="s">
        <v>14</v>
      </c>
      <c r="Q169" s="3"/>
      <c r="S169" s="2"/>
      <c r="T169" s="2"/>
      <c r="U169" s="2"/>
      <c r="V169" s="2"/>
      <c r="W169" s="2"/>
      <c r="X169" s="3"/>
      <c r="Y169" s="2"/>
    </row>
    <row r="170" spans="1:25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"/>
      <c r="Q170" s="3"/>
      <c r="S170" s="2"/>
      <c r="T170" s="2"/>
      <c r="U170" s="2"/>
      <c r="V170" s="2"/>
      <c r="W170" s="2"/>
      <c r="X170" s="3"/>
      <c r="Y170" s="2"/>
    </row>
    <row r="171" spans="1:25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S171" s="2"/>
      <c r="T171" s="2"/>
      <c r="U171" s="2"/>
      <c r="V171" s="2"/>
      <c r="W171" s="2"/>
      <c r="X171" s="2"/>
      <c r="Y171" s="2"/>
    </row>
    <row r="172" spans="1:25" ht="15.75">
      <c r="A172" s="8" t="s">
        <v>854</v>
      </c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8" t="s">
        <v>16</v>
      </c>
      <c r="Q172" s="8"/>
      <c r="S172" s="2"/>
      <c r="T172" s="9"/>
      <c r="U172" s="9"/>
      <c r="V172" s="9"/>
      <c r="W172" s="9"/>
      <c r="X172" s="9"/>
      <c r="Y172" s="9"/>
    </row>
    <row r="173" spans="1:25" ht="15.75">
      <c r="A173" s="8" t="s">
        <v>855</v>
      </c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8" t="s">
        <v>17</v>
      </c>
      <c r="Q173" s="2"/>
      <c r="T173" s="9"/>
      <c r="U173" s="9"/>
      <c r="V173" s="9"/>
    </row>
    <row r="174" spans="1:25" ht="15.75">
      <c r="A174" s="8"/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8"/>
      <c r="Q174" s="2"/>
      <c r="T174" s="9"/>
      <c r="U174" s="9"/>
      <c r="V174" s="9"/>
    </row>
    <row r="175" spans="1:25" ht="15.75">
      <c r="A175" s="8"/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8"/>
      <c r="Q175" s="2"/>
      <c r="T175" s="9"/>
      <c r="U175" s="9"/>
      <c r="V175" s="9"/>
    </row>
    <row r="178" spans="1:25" ht="20.25" customHeight="1"/>
    <row r="179" spans="1:25" ht="20.25" customHeight="1"/>
    <row r="183" spans="1:25" ht="15.75">
      <c r="A183" s="211" t="s">
        <v>132</v>
      </c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8"/>
    </row>
    <row r="184" spans="1:25" ht="15.75">
      <c r="A184" s="211" t="s">
        <v>0</v>
      </c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8"/>
    </row>
    <row r="185" spans="1:25" ht="15.75">
      <c r="A185" s="21" t="s">
        <v>133</v>
      </c>
      <c r="B185" s="21"/>
      <c r="C185" s="22" t="s">
        <v>1613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>
      <c r="A186" s="18" t="s">
        <v>134</v>
      </c>
      <c r="B186" s="18"/>
      <c r="C186" s="15" t="s">
        <v>135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>
      <c r="A187" s="21" t="s">
        <v>136</v>
      </c>
      <c r="B187" s="21"/>
      <c r="C187" s="22" t="s">
        <v>860</v>
      </c>
      <c r="D187" s="1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>
      <c r="A188" s="24"/>
      <c r="B188" s="24"/>
      <c r="C188" s="24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</row>
    <row r="189" spans="1:25">
      <c r="A189" s="24"/>
      <c r="B189" s="24"/>
      <c r="C189" s="24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</row>
    <row r="190" spans="1:25">
      <c r="A190" s="206" t="s">
        <v>1</v>
      </c>
      <c r="B190" s="206" t="s">
        <v>18</v>
      </c>
      <c r="C190" s="206" t="s">
        <v>2</v>
      </c>
      <c r="D190" s="206" t="s">
        <v>137</v>
      </c>
      <c r="E190" s="213" t="s">
        <v>3</v>
      </c>
      <c r="F190" s="208" t="s">
        <v>4</v>
      </c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10"/>
      <c r="V190" s="208" t="s">
        <v>5</v>
      </c>
      <c r="W190" s="209"/>
      <c r="X190" s="210"/>
    </row>
    <row r="191" spans="1:25" ht="15.75">
      <c r="A191" s="207"/>
      <c r="B191" s="207"/>
      <c r="C191" s="207"/>
      <c r="D191" s="207"/>
      <c r="E191" s="214"/>
      <c r="F191" s="25">
        <v>1</v>
      </c>
      <c r="G191" s="25">
        <v>2</v>
      </c>
      <c r="H191" s="25">
        <v>3</v>
      </c>
      <c r="I191" s="25">
        <v>4</v>
      </c>
      <c r="J191" s="25">
        <v>5</v>
      </c>
      <c r="K191" s="25">
        <v>6</v>
      </c>
      <c r="L191" s="25">
        <v>7</v>
      </c>
      <c r="M191" s="25">
        <v>8</v>
      </c>
      <c r="N191" s="25">
        <v>9</v>
      </c>
      <c r="O191" s="25">
        <v>10</v>
      </c>
      <c r="P191" s="25">
        <v>11</v>
      </c>
      <c r="Q191" s="25">
        <v>12</v>
      </c>
      <c r="R191" s="25">
        <v>13</v>
      </c>
      <c r="S191" s="25">
        <v>14</v>
      </c>
      <c r="T191" s="25">
        <v>15</v>
      </c>
      <c r="U191" s="25">
        <v>16</v>
      </c>
      <c r="V191" s="25" t="s">
        <v>6</v>
      </c>
      <c r="W191" s="25" t="s">
        <v>7</v>
      </c>
      <c r="X191" s="25" t="s">
        <v>8</v>
      </c>
      <c r="Y191" s="9"/>
    </row>
    <row r="192" spans="1:25" ht="16.5" thickBot="1">
      <c r="A192" s="71">
        <v>1</v>
      </c>
      <c r="B192" s="69" t="s">
        <v>1469</v>
      </c>
      <c r="C192" s="69">
        <v>242518421001</v>
      </c>
      <c r="D192" s="68" t="s">
        <v>105</v>
      </c>
      <c r="E192" s="70" t="s">
        <v>9</v>
      </c>
      <c r="F192" s="81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9"/>
    </row>
    <row r="193" spans="1:33" ht="15.75">
      <c r="A193" s="71">
        <v>2</v>
      </c>
      <c r="B193" s="69" t="s">
        <v>1470</v>
      </c>
      <c r="C193" s="69">
        <v>242518421002</v>
      </c>
      <c r="D193" s="68" t="s">
        <v>106</v>
      </c>
      <c r="E193" s="70" t="s">
        <v>9</v>
      </c>
      <c r="F193" s="81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9"/>
      <c r="AB193" s="26" t="s">
        <v>337</v>
      </c>
      <c r="AC193" s="27"/>
      <c r="AD193" s="27"/>
      <c r="AE193" s="28"/>
      <c r="AF193" s="28"/>
      <c r="AG193" s="29"/>
    </row>
    <row r="194" spans="1:33" ht="15.75">
      <c r="A194" s="71">
        <v>3</v>
      </c>
      <c r="B194" s="69" t="s">
        <v>1471</v>
      </c>
      <c r="C194" s="69">
        <v>242518421004</v>
      </c>
      <c r="D194" s="68" t="s">
        <v>108</v>
      </c>
      <c r="E194" s="70" t="s">
        <v>9</v>
      </c>
      <c r="F194" s="81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9"/>
      <c r="AB194" s="31" t="s">
        <v>138</v>
      </c>
      <c r="AC194" s="32"/>
      <c r="AD194" s="32"/>
      <c r="AE194" s="33"/>
      <c r="AF194" s="33"/>
      <c r="AG194" s="34"/>
    </row>
    <row r="195" spans="1:33" ht="15.75">
      <c r="A195" s="71">
        <v>4</v>
      </c>
      <c r="B195" s="69" t="s">
        <v>1472</v>
      </c>
      <c r="C195" s="69">
        <v>242518421005</v>
      </c>
      <c r="D195" s="68" t="s">
        <v>109</v>
      </c>
      <c r="E195" s="70" t="s">
        <v>9</v>
      </c>
      <c r="F195" s="81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9"/>
      <c r="AB195" s="31" t="s">
        <v>338</v>
      </c>
      <c r="AC195" s="32"/>
      <c r="AD195" s="32"/>
      <c r="AE195" s="33"/>
      <c r="AF195" s="33"/>
      <c r="AG195" s="34"/>
    </row>
    <row r="196" spans="1:33" ht="16.5" thickBot="1">
      <c r="A196" s="71">
        <v>5</v>
      </c>
      <c r="B196" s="69" t="s">
        <v>1473</v>
      </c>
      <c r="C196" s="69">
        <v>242518421006</v>
      </c>
      <c r="D196" s="68" t="s">
        <v>110</v>
      </c>
      <c r="E196" s="70" t="s">
        <v>9</v>
      </c>
      <c r="F196" s="81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9"/>
      <c r="AB196" s="35" t="s">
        <v>140</v>
      </c>
      <c r="AC196" s="36"/>
      <c r="AD196" s="36"/>
      <c r="AE196" s="37"/>
      <c r="AF196" s="37"/>
      <c r="AG196" s="38"/>
    </row>
    <row r="197" spans="1:33" ht="15.75">
      <c r="A197" s="71">
        <v>6</v>
      </c>
      <c r="B197" s="69" t="s">
        <v>1474</v>
      </c>
      <c r="C197" s="69">
        <v>242518421003</v>
      </c>
      <c r="D197" s="68" t="s">
        <v>107</v>
      </c>
      <c r="E197" s="70" t="s">
        <v>15</v>
      </c>
      <c r="F197" s="81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9"/>
    </row>
    <row r="198" spans="1:33" ht="15.75">
      <c r="A198" s="71">
        <v>7</v>
      </c>
      <c r="B198" s="69" t="s">
        <v>1475</v>
      </c>
      <c r="C198" s="69">
        <v>242518421008</v>
      </c>
      <c r="D198" s="68" t="s">
        <v>112</v>
      </c>
      <c r="E198" s="70" t="s">
        <v>9</v>
      </c>
      <c r="F198" s="81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9"/>
    </row>
    <row r="199" spans="1:33" ht="15.75">
      <c r="A199" s="71">
        <v>8</v>
      </c>
      <c r="B199" s="69" t="s">
        <v>1476</v>
      </c>
      <c r="C199" s="69">
        <v>242518421107</v>
      </c>
      <c r="D199" s="68" t="s">
        <v>1477</v>
      </c>
      <c r="E199" s="70" t="s">
        <v>15</v>
      </c>
      <c r="F199" s="81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9"/>
    </row>
    <row r="200" spans="1:33" ht="15.75">
      <c r="A200" s="71">
        <v>9</v>
      </c>
      <c r="B200" s="69" t="s">
        <v>1478</v>
      </c>
      <c r="C200" s="69">
        <v>242518421009</v>
      </c>
      <c r="D200" s="68" t="s">
        <v>113</v>
      </c>
      <c r="E200" s="70" t="s">
        <v>9</v>
      </c>
      <c r="F200" s="81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9"/>
    </row>
    <row r="201" spans="1:33" ht="15.75">
      <c r="A201" s="71">
        <v>10</v>
      </c>
      <c r="B201" s="69" t="s">
        <v>1479</v>
      </c>
      <c r="C201" s="69">
        <v>242518421010</v>
      </c>
      <c r="D201" s="68" t="s">
        <v>114</v>
      </c>
      <c r="E201" s="70" t="s">
        <v>9</v>
      </c>
      <c r="F201" s="81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9"/>
    </row>
    <row r="202" spans="1:33" ht="15.75">
      <c r="A202" s="71">
        <v>11</v>
      </c>
      <c r="B202" s="69" t="s">
        <v>1480</v>
      </c>
      <c r="C202" s="69">
        <v>242518421011</v>
      </c>
      <c r="D202" s="68" t="s">
        <v>115</v>
      </c>
      <c r="E202" s="70" t="s">
        <v>15</v>
      </c>
      <c r="F202" s="81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9"/>
    </row>
    <row r="203" spans="1:33" ht="15.75">
      <c r="A203" s="71">
        <v>12</v>
      </c>
      <c r="B203" s="69" t="s">
        <v>1481</v>
      </c>
      <c r="C203" s="69">
        <v>242518421012</v>
      </c>
      <c r="D203" s="68" t="s">
        <v>116</v>
      </c>
      <c r="E203" s="70" t="s">
        <v>9</v>
      </c>
      <c r="F203" s="81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9"/>
    </row>
    <row r="204" spans="1:33" ht="15.75">
      <c r="A204" s="71">
        <v>13</v>
      </c>
      <c r="B204" s="69" t="s">
        <v>1482</v>
      </c>
      <c r="C204" s="69">
        <v>242518421013</v>
      </c>
      <c r="D204" s="68" t="s">
        <v>117</v>
      </c>
      <c r="E204" s="70" t="s">
        <v>15</v>
      </c>
      <c r="F204" s="81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9"/>
    </row>
    <row r="205" spans="1:33" ht="15.75">
      <c r="A205" s="71">
        <v>14</v>
      </c>
      <c r="B205" s="69" t="s">
        <v>1483</v>
      </c>
      <c r="C205" s="69">
        <v>242518421014</v>
      </c>
      <c r="D205" s="68" t="s">
        <v>118</v>
      </c>
      <c r="E205" s="70" t="s">
        <v>9</v>
      </c>
      <c r="F205" s="81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9"/>
    </row>
    <row r="206" spans="1:33" ht="15.75">
      <c r="A206" s="71">
        <v>15</v>
      </c>
      <c r="B206" s="69" t="s">
        <v>1484</v>
      </c>
      <c r="C206" s="69">
        <v>242518421015</v>
      </c>
      <c r="D206" s="68" t="s">
        <v>119</v>
      </c>
      <c r="E206" s="70" t="s">
        <v>15</v>
      </c>
      <c r="F206" s="81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9"/>
    </row>
    <row r="207" spans="1:33" ht="15.75">
      <c r="A207" s="71">
        <v>16</v>
      </c>
      <c r="B207" s="69" t="s">
        <v>1485</v>
      </c>
      <c r="C207" s="69">
        <v>242518421016</v>
      </c>
      <c r="D207" s="68" t="s">
        <v>120</v>
      </c>
      <c r="E207" s="70" t="s">
        <v>9</v>
      </c>
      <c r="F207" s="81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9"/>
    </row>
    <row r="208" spans="1:33" ht="15.75">
      <c r="A208" s="71">
        <v>17</v>
      </c>
      <c r="B208" s="69" t="s">
        <v>1486</v>
      </c>
      <c r="C208" s="69">
        <v>242518421018</v>
      </c>
      <c r="D208" s="68" t="s">
        <v>121</v>
      </c>
      <c r="E208" s="70" t="s">
        <v>9</v>
      </c>
      <c r="F208" s="81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9"/>
    </row>
    <row r="209" spans="1:25" ht="15.75">
      <c r="A209" s="71">
        <v>18</v>
      </c>
      <c r="B209" s="69" t="s">
        <v>1487</v>
      </c>
      <c r="C209" s="69">
        <v>242518421020</v>
      </c>
      <c r="D209" s="68" t="s">
        <v>834</v>
      </c>
      <c r="E209" s="70" t="s">
        <v>9</v>
      </c>
      <c r="F209" s="81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9"/>
    </row>
    <row r="210" spans="1:25" ht="15.75">
      <c r="A210" s="71">
        <v>19</v>
      </c>
      <c r="B210" s="69" t="s">
        <v>1488</v>
      </c>
      <c r="C210" s="69">
        <v>242518421021</v>
      </c>
      <c r="D210" s="68" t="s">
        <v>66</v>
      </c>
      <c r="E210" s="70" t="s">
        <v>9</v>
      </c>
      <c r="F210" s="81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9"/>
    </row>
    <row r="211" spans="1:25" ht="15.75">
      <c r="A211" s="71">
        <v>20</v>
      </c>
      <c r="B211" s="69" t="s">
        <v>1489</v>
      </c>
      <c r="C211" s="69">
        <v>242518421112</v>
      </c>
      <c r="D211" s="68" t="s">
        <v>387</v>
      </c>
      <c r="E211" s="70" t="s">
        <v>9</v>
      </c>
      <c r="F211" s="81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9"/>
    </row>
    <row r="212" spans="1:25" ht="15.75">
      <c r="A212" s="71">
        <v>21</v>
      </c>
      <c r="B212" s="69" t="s">
        <v>1490</v>
      </c>
      <c r="C212" s="69">
        <v>242518421019</v>
      </c>
      <c r="D212" s="68" t="s">
        <v>835</v>
      </c>
      <c r="E212" s="70" t="s">
        <v>9</v>
      </c>
      <c r="F212" s="81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9"/>
    </row>
    <row r="213" spans="1:25" ht="15.75">
      <c r="A213" s="71">
        <v>22</v>
      </c>
      <c r="B213" s="69" t="s">
        <v>1491</v>
      </c>
      <c r="C213" s="69">
        <v>242518421022</v>
      </c>
      <c r="D213" s="68" t="s">
        <v>836</v>
      </c>
      <c r="E213" s="70" t="s">
        <v>9</v>
      </c>
      <c r="F213" s="81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9"/>
    </row>
    <row r="214" spans="1:25" ht="15.75">
      <c r="A214" s="71">
        <v>23</v>
      </c>
      <c r="B214" s="69" t="s">
        <v>1492</v>
      </c>
      <c r="C214" s="69">
        <v>242518421023</v>
      </c>
      <c r="D214" s="68" t="s">
        <v>122</v>
      </c>
      <c r="E214" s="70" t="s">
        <v>15</v>
      </c>
      <c r="F214" s="81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9"/>
    </row>
    <row r="215" spans="1:25" ht="15.75">
      <c r="A215" s="71">
        <v>24</v>
      </c>
      <c r="B215" s="69" t="s">
        <v>1493</v>
      </c>
      <c r="C215" s="69">
        <v>242518421025</v>
      </c>
      <c r="D215" s="68" t="s">
        <v>123</v>
      </c>
      <c r="E215" s="70" t="s">
        <v>9</v>
      </c>
      <c r="F215" s="81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9"/>
    </row>
    <row r="216" spans="1:25" s="112" customFormat="1" ht="15.75">
      <c r="A216" s="115">
        <v>25</v>
      </c>
      <c r="B216" s="107" t="s">
        <v>1494</v>
      </c>
      <c r="C216" s="107">
        <v>242518421027</v>
      </c>
      <c r="D216" s="108" t="s">
        <v>124</v>
      </c>
      <c r="E216" s="116" t="s">
        <v>15</v>
      </c>
      <c r="F216" s="121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1"/>
    </row>
    <row r="217" spans="1:25" ht="15.75">
      <c r="A217" s="71">
        <v>26</v>
      </c>
      <c r="B217" s="69" t="s">
        <v>1495</v>
      </c>
      <c r="C217" s="69">
        <v>242518421028</v>
      </c>
      <c r="D217" s="68" t="s">
        <v>125</v>
      </c>
      <c r="E217" s="70" t="s">
        <v>15</v>
      </c>
      <c r="F217" s="121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9"/>
    </row>
    <row r="218" spans="1:25">
      <c r="A218" s="71">
        <v>27</v>
      </c>
      <c r="B218" s="69" t="s">
        <v>1496</v>
      </c>
      <c r="C218" s="69">
        <v>242518421029</v>
      </c>
      <c r="D218" s="68" t="s">
        <v>126</v>
      </c>
      <c r="E218" s="70" t="s">
        <v>9</v>
      </c>
      <c r="F218" s="12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5">
      <c r="A219" s="71">
        <v>28</v>
      </c>
      <c r="B219" s="69" t="s">
        <v>1497</v>
      </c>
      <c r="C219" s="69">
        <v>242518421030</v>
      </c>
      <c r="D219" s="68" t="s">
        <v>1498</v>
      </c>
      <c r="E219" s="70" t="s">
        <v>9</v>
      </c>
      <c r="F219" s="12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5">
      <c r="A220" s="71">
        <v>29</v>
      </c>
      <c r="B220" s="69" t="s">
        <v>1499</v>
      </c>
      <c r="C220" s="69">
        <v>242518421031</v>
      </c>
      <c r="D220" s="68" t="s">
        <v>127</v>
      </c>
      <c r="E220" s="70" t="s">
        <v>9</v>
      </c>
      <c r="F220" s="12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5">
      <c r="A221" s="71">
        <v>30</v>
      </c>
      <c r="B221" s="69" t="s">
        <v>1500</v>
      </c>
      <c r="C221" s="69">
        <v>242518421034</v>
      </c>
      <c r="D221" s="68" t="s">
        <v>130</v>
      </c>
      <c r="E221" s="70" t="s">
        <v>15</v>
      </c>
      <c r="F221" s="12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5">
      <c r="A222" s="71">
        <v>31</v>
      </c>
      <c r="B222" s="69" t="s">
        <v>1501</v>
      </c>
      <c r="C222" s="69">
        <v>242518421033</v>
      </c>
      <c r="D222" s="68" t="s">
        <v>129</v>
      </c>
      <c r="E222" s="70" t="s">
        <v>15</v>
      </c>
      <c r="F222" s="12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5">
      <c r="A223" s="71">
        <v>32</v>
      </c>
      <c r="B223" s="69" t="s">
        <v>1502</v>
      </c>
      <c r="C223" s="69">
        <v>242518421032</v>
      </c>
      <c r="D223" s="68" t="s">
        <v>128</v>
      </c>
      <c r="E223" s="70" t="s">
        <v>15</v>
      </c>
      <c r="F223" s="12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5">
      <c r="A224" s="71">
        <v>33</v>
      </c>
      <c r="B224" s="69" t="s">
        <v>1503</v>
      </c>
      <c r="C224" s="69">
        <v>242518421036</v>
      </c>
      <c r="D224" s="68" t="s">
        <v>131</v>
      </c>
      <c r="E224" s="70" t="s">
        <v>9</v>
      </c>
      <c r="F224" s="121"/>
      <c r="G224" s="80"/>
      <c r="H224" s="80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1:25">
      <c r="A225" s="232" t="s">
        <v>10</v>
      </c>
      <c r="B225" s="232"/>
      <c r="C225" s="233"/>
      <c r="D225" s="233"/>
      <c r="E225" s="89">
        <f>COUNTIF(E192:E224,"L")</f>
        <v>22</v>
      </c>
      <c r="G225" s="2"/>
    </row>
    <row r="226" spans="1:25">
      <c r="A226" s="232" t="s">
        <v>11</v>
      </c>
      <c r="B226" s="232"/>
      <c r="C226" s="233"/>
      <c r="D226" s="233"/>
      <c r="E226" s="89">
        <f>COUNTIF(E192:E224,"P")</f>
        <v>11</v>
      </c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1"/>
      <c r="S226" s="2"/>
      <c r="T226" s="2"/>
      <c r="U226" s="2"/>
      <c r="V226" s="2"/>
      <c r="W226" s="2"/>
      <c r="X226" s="3"/>
      <c r="Y226" s="2"/>
    </row>
    <row r="227" spans="1:25">
      <c r="A227" s="231" t="s">
        <v>864</v>
      </c>
      <c r="B227" s="231"/>
      <c r="C227" s="231"/>
      <c r="D227" s="231"/>
      <c r="E227" s="89">
        <f>SUM(E225:E226)</f>
        <v>33</v>
      </c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1"/>
      <c r="S227" s="2"/>
      <c r="T227" s="2"/>
      <c r="U227" s="2"/>
      <c r="V227" s="2"/>
      <c r="W227" s="2"/>
      <c r="X227" s="3"/>
      <c r="Y227" s="2"/>
    </row>
    <row r="228" spans="1:25">
      <c r="A228" s="1" t="s">
        <v>12</v>
      </c>
      <c r="B228" s="1"/>
      <c r="C228" s="1"/>
      <c r="D228" s="1"/>
      <c r="E228" s="1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1" t="s">
        <v>1605</v>
      </c>
      <c r="Q228" s="2"/>
      <c r="T228" s="2"/>
      <c r="U228" s="2"/>
      <c r="V228" s="2"/>
      <c r="W228" s="2"/>
      <c r="X228" s="3"/>
      <c r="Y228" s="2"/>
    </row>
    <row r="229" spans="1:25">
      <c r="A229" s="1" t="s">
        <v>13</v>
      </c>
      <c r="B229" s="1"/>
      <c r="C229" s="1"/>
      <c r="D229" s="1"/>
      <c r="E229" s="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" t="s">
        <v>14</v>
      </c>
      <c r="Q229" s="3"/>
      <c r="S229" s="2"/>
      <c r="T229" s="2"/>
      <c r="U229" s="2"/>
      <c r="V229" s="2"/>
      <c r="W229" s="2"/>
      <c r="X229" s="3"/>
      <c r="Y229" s="2"/>
    </row>
    <row r="230" spans="1:25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"/>
      <c r="Q230" s="3"/>
      <c r="S230" s="2"/>
      <c r="T230" s="2"/>
      <c r="U230" s="2"/>
      <c r="V230" s="2"/>
      <c r="W230" s="2"/>
      <c r="X230" s="3"/>
      <c r="Y230" s="2"/>
    </row>
    <row r="231" spans="1:25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S231" s="2"/>
      <c r="T231" s="2"/>
      <c r="U231" s="2"/>
      <c r="V231" s="2"/>
      <c r="W231" s="2"/>
      <c r="X231" s="2"/>
      <c r="Y231" s="2"/>
    </row>
    <row r="232" spans="1:25" ht="15.75">
      <c r="A232" s="8" t="s">
        <v>854</v>
      </c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8" t="s">
        <v>16</v>
      </c>
      <c r="Q232" s="8"/>
      <c r="S232" s="2"/>
      <c r="T232" s="9"/>
      <c r="U232" s="9"/>
      <c r="V232" s="9"/>
      <c r="W232" s="9"/>
      <c r="X232" s="9"/>
      <c r="Y232" s="9"/>
    </row>
    <row r="233" spans="1:25" ht="15.75">
      <c r="A233" s="8" t="s">
        <v>855</v>
      </c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8" t="s">
        <v>17</v>
      </c>
      <c r="Q233" s="2"/>
      <c r="T233" s="9"/>
      <c r="U233" s="9"/>
      <c r="V233" s="9"/>
    </row>
    <row r="234" spans="1:25" ht="15.75">
      <c r="A234" s="8"/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8"/>
      <c r="Q234" s="2"/>
      <c r="T234" s="9"/>
      <c r="U234" s="9"/>
      <c r="V234" s="9"/>
    </row>
    <row r="235" spans="1:25" ht="15.75">
      <c r="A235" s="8"/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8"/>
      <c r="Q235" s="2"/>
      <c r="T235" s="9"/>
      <c r="U235" s="9"/>
      <c r="V235" s="9"/>
    </row>
    <row r="236" spans="1:25" ht="15.75">
      <c r="A236" s="8"/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8"/>
      <c r="Q236" s="2"/>
      <c r="T236" s="9"/>
      <c r="U236" s="9"/>
      <c r="V236" s="9"/>
    </row>
    <row r="237" spans="1:25" ht="15.75">
      <c r="A237" s="8"/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8"/>
      <c r="Q237" s="2"/>
      <c r="T237" s="9"/>
      <c r="U237" s="9"/>
      <c r="V237" s="9"/>
    </row>
    <row r="238" spans="1:25" ht="15.75">
      <c r="A238" s="8"/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8"/>
      <c r="Q238" s="2"/>
      <c r="T238" s="9"/>
      <c r="U238" s="9"/>
      <c r="V238" s="9"/>
    </row>
    <row r="239" spans="1:25" ht="15.75">
      <c r="A239" s="8"/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8"/>
      <c r="Q239" s="2"/>
      <c r="T239" s="9"/>
      <c r="U239" s="9"/>
      <c r="V239" s="9"/>
    </row>
    <row r="240" spans="1:25" ht="15.75">
      <c r="A240" s="8"/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8"/>
      <c r="Q240" s="2"/>
      <c r="T240" s="9"/>
      <c r="U240" s="9"/>
      <c r="V240" s="9"/>
    </row>
    <row r="241" spans="1:22" ht="15.75">
      <c r="A241" s="8"/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8"/>
      <c r="Q241" s="2"/>
      <c r="T241" s="9"/>
      <c r="U241" s="9"/>
      <c r="V241" s="9"/>
    </row>
    <row r="242" spans="1:22" ht="15.75">
      <c r="A242" s="8"/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8"/>
      <c r="Q242" s="2"/>
      <c r="T242" s="9"/>
      <c r="U242" s="9"/>
      <c r="V242" s="9"/>
    </row>
    <row r="243" spans="1:22" ht="15.75">
      <c r="A243" s="8"/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8"/>
      <c r="Q243" s="2"/>
      <c r="T243" s="9"/>
      <c r="U243" s="9"/>
      <c r="V243" s="9"/>
    </row>
    <row r="244" spans="1:22" ht="15.75">
      <c r="A244" s="8"/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8"/>
      <c r="Q244" s="2"/>
      <c r="T244" s="9"/>
      <c r="U244" s="9"/>
      <c r="V244" s="9"/>
    </row>
    <row r="245" spans="1:22" ht="15.75">
      <c r="A245" s="8"/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8"/>
      <c r="Q245" s="2"/>
      <c r="T245" s="9"/>
      <c r="U245" s="9"/>
      <c r="V245" s="9"/>
    </row>
    <row r="246" spans="1:22" ht="15.75">
      <c r="A246" s="8"/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8"/>
      <c r="Q246" s="2"/>
      <c r="T246" s="9"/>
      <c r="U246" s="9"/>
      <c r="V246" s="9"/>
    </row>
    <row r="247" spans="1:22" ht="15.75">
      <c r="A247" s="8"/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8"/>
      <c r="Q247" s="2"/>
      <c r="T247" s="9"/>
      <c r="U247" s="9"/>
      <c r="V247" s="9"/>
    </row>
    <row r="248" spans="1:22" ht="15.75">
      <c r="A248" s="8"/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8"/>
      <c r="Q248" s="2"/>
      <c r="T248" s="9"/>
      <c r="U248" s="9"/>
      <c r="V248" s="9"/>
    </row>
    <row r="249" spans="1:22" ht="15.75">
      <c r="A249" s="8"/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8"/>
      <c r="Q249" s="2"/>
      <c r="T249" s="9"/>
      <c r="U249" s="9"/>
      <c r="V249" s="9"/>
    </row>
    <row r="250" spans="1:22" ht="15.75">
      <c r="A250" s="8"/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8"/>
      <c r="Q250" s="2"/>
      <c r="T250" s="9"/>
      <c r="U250" s="9"/>
      <c r="V250" s="9"/>
    </row>
    <row r="251" spans="1:22" ht="15.75">
      <c r="A251" s="8"/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8"/>
      <c r="Q251" s="2"/>
      <c r="T251" s="9"/>
      <c r="U251" s="9"/>
      <c r="V251" s="9"/>
    </row>
    <row r="252" spans="1:22" ht="15.75">
      <c r="A252" s="8"/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8"/>
      <c r="Q252" s="2"/>
      <c r="T252" s="9"/>
      <c r="U252" s="9"/>
      <c r="V252" s="9"/>
    </row>
    <row r="253" spans="1:22" ht="15.75">
      <c r="A253" s="8"/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8"/>
      <c r="Q253" s="2"/>
      <c r="T253" s="9"/>
      <c r="U253" s="9"/>
      <c r="V253" s="9"/>
    </row>
    <row r="261" spans="1:25" ht="15.75">
      <c r="A261" s="211" t="s">
        <v>132</v>
      </c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</row>
    <row r="262" spans="1:25" ht="15.75">
      <c r="A262" s="211" t="s">
        <v>0</v>
      </c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8"/>
    </row>
    <row r="263" spans="1:25" ht="15.75">
      <c r="Y263" s="8"/>
    </row>
    <row r="264" spans="1:25" ht="15.75">
      <c r="A264" s="21" t="s">
        <v>133</v>
      </c>
      <c r="B264" s="21"/>
      <c r="C264" s="22" t="s">
        <v>1612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>
      <c r="A265" s="18" t="s">
        <v>134</v>
      </c>
      <c r="B265" s="18"/>
      <c r="C265" s="15" t="s">
        <v>135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5.75">
      <c r="A266" s="21" t="s">
        <v>136</v>
      </c>
      <c r="B266" s="21"/>
      <c r="C266" s="22" t="s">
        <v>859</v>
      </c>
      <c r="D266" s="1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>
      <c r="A267" s="24"/>
      <c r="B267" s="24"/>
      <c r="C267" s="24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</row>
    <row r="268" spans="1:25">
      <c r="A268" s="24"/>
      <c r="B268" s="24"/>
      <c r="C268" s="24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</row>
    <row r="269" spans="1:25">
      <c r="A269" s="206" t="s">
        <v>1</v>
      </c>
      <c r="B269" s="206" t="s">
        <v>18</v>
      </c>
      <c r="C269" s="206" t="s">
        <v>2</v>
      </c>
      <c r="D269" s="206" t="s">
        <v>137</v>
      </c>
      <c r="E269" s="213" t="s">
        <v>3</v>
      </c>
      <c r="F269" s="208" t="s">
        <v>4</v>
      </c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10"/>
      <c r="V269" s="208" t="s">
        <v>5</v>
      </c>
      <c r="W269" s="209"/>
      <c r="X269" s="210"/>
    </row>
    <row r="270" spans="1:25" ht="15.75">
      <c r="A270" s="207"/>
      <c r="B270" s="207"/>
      <c r="C270" s="207"/>
      <c r="D270" s="207"/>
      <c r="E270" s="214"/>
      <c r="F270" s="25">
        <v>1</v>
      </c>
      <c r="G270" s="25">
        <v>2</v>
      </c>
      <c r="H270" s="25">
        <v>3</v>
      </c>
      <c r="I270" s="25">
        <v>4</v>
      </c>
      <c r="J270" s="25">
        <v>5</v>
      </c>
      <c r="K270" s="25">
        <v>6</v>
      </c>
      <c r="L270" s="25">
        <v>7</v>
      </c>
      <c r="M270" s="25">
        <v>8</v>
      </c>
      <c r="N270" s="25">
        <v>9</v>
      </c>
      <c r="O270" s="25">
        <v>10</v>
      </c>
      <c r="P270" s="25">
        <v>11</v>
      </c>
      <c r="Q270" s="25">
        <v>12</v>
      </c>
      <c r="R270" s="25">
        <v>13</v>
      </c>
      <c r="S270" s="25">
        <v>14</v>
      </c>
      <c r="T270" s="25">
        <v>15</v>
      </c>
      <c r="U270" s="25">
        <v>16</v>
      </c>
      <c r="V270" s="25" t="s">
        <v>6</v>
      </c>
      <c r="W270" s="25" t="s">
        <v>7</v>
      </c>
      <c r="X270" s="25" t="s">
        <v>8</v>
      </c>
      <c r="Y270" s="9"/>
    </row>
    <row r="271" spans="1:25" ht="15.75">
      <c r="A271" s="71">
        <v>1</v>
      </c>
      <c r="B271" s="69" t="s">
        <v>1435</v>
      </c>
      <c r="C271" s="69">
        <v>242518421038</v>
      </c>
      <c r="D271" s="68" t="s">
        <v>141</v>
      </c>
      <c r="E271" s="70" t="s">
        <v>15</v>
      </c>
      <c r="F271" s="81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9"/>
    </row>
    <row r="272" spans="1:25" ht="15.75">
      <c r="A272" s="71">
        <v>2</v>
      </c>
      <c r="B272" s="69" t="s">
        <v>1436</v>
      </c>
      <c r="C272" s="69">
        <v>242518421039</v>
      </c>
      <c r="D272" s="68" t="s">
        <v>142</v>
      </c>
      <c r="E272" s="70" t="s">
        <v>9</v>
      </c>
      <c r="F272" s="81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9"/>
    </row>
    <row r="273" spans="1:25" ht="15.75">
      <c r="A273" s="71">
        <v>3</v>
      </c>
      <c r="B273" s="69" t="s">
        <v>1437</v>
      </c>
      <c r="C273" s="69">
        <v>242518421040</v>
      </c>
      <c r="D273" s="68" t="s">
        <v>143</v>
      </c>
      <c r="E273" s="70" t="s">
        <v>9</v>
      </c>
      <c r="F273" s="81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9"/>
    </row>
    <row r="274" spans="1:25" ht="15.75">
      <c r="A274" s="71">
        <v>4</v>
      </c>
      <c r="B274" s="69" t="s">
        <v>1438</v>
      </c>
      <c r="C274" s="69">
        <v>242518421041</v>
      </c>
      <c r="D274" s="68" t="s">
        <v>144</v>
      </c>
      <c r="E274" s="70" t="s">
        <v>9</v>
      </c>
      <c r="F274" s="81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9"/>
    </row>
    <row r="275" spans="1:25" ht="15.75">
      <c r="A275" s="71">
        <v>5</v>
      </c>
      <c r="B275" s="69" t="s">
        <v>1439</v>
      </c>
      <c r="C275" s="69">
        <v>242518421042</v>
      </c>
      <c r="D275" s="68" t="s">
        <v>145</v>
      </c>
      <c r="E275" s="70" t="s">
        <v>9</v>
      </c>
      <c r="F275" s="81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9"/>
    </row>
    <row r="276" spans="1:25" ht="15.75">
      <c r="A276" s="71">
        <v>6</v>
      </c>
      <c r="B276" s="69" t="s">
        <v>1440</v>
      </c>
      <c r="C276" s="69">
        <v>242518421043</v>
      </c>
      <c r="D276" s="68" t="s">
        <v>146</v>
      </c>
      <c r="E276" s="70" t="s">
        <v>15</v>
      </c>
      <c r="F276" s="81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9"/>
    </row>
    <row r="277" spans="1:25" ht="15.75">
      <c r="A277" s="71">
        <v>7</v>
      </c>
      <c r="B277" s="69" t="s">
        <v>1441</v>
      </c>
      <c r="C277" s="69">
        <v>242518421044</v>
      </c>
      <c r="D277" s="68" t="s">
        <v>147</v>
      </c>
      <c r="E277" s="70" t="s">
        <v>9</v>
      </c>
      <c r="F277" s="81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9"/>
    </row>
    <row r="278" spans="1:25" ht="15.75">
      <c r="A278" s="71">
        <v>8</v>
      </c>
      <c r="B278" s="69" t="s">
        <v>1442</v>
      </c>
      <c r="C278" s="69">
        <v>242518421045</v>
      </c>
      <c r="D278" s="68" t="s">
        <v>837</v>
      </c>
      <c r="E278" s="70" t="s">
        <v>9</v>
      </c>
      <c r="F278" s="81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9"/>
    </row>
    <row r="279" spans="1:25" ht="15.75">
      <c r="A279" s="71">
        <v>9</v>
      </c>
      <c r="B279" s="69" t="s">
        <v>1443</v>
      </c>
      <c r="C279" s="69">
        <v>242518421046</v>
      </c>
      <c r="D279" s="68" t="s">
        <v>148</v>
      </c>
      <c r="E279" s="70" t="s">
        <v>9</v>
      </c>
      <c r="F279" s="81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9"/>
    </row>
    <row r="280" spans="1:25" ht="15.75">
      <c r="A280" s="71">
        <v>10</v>
      </c>
      <c r="B280" s="69" t="s">
        <v>1444</v>
      </c>
      <c r="C280" s="69">
        <v>242518421048</v>
      </c>
      <c r="D280" s="68" t="s">
        <v>149</v>
      </c>
      <c r="E280" s="70" t="s">
        <v>9</v>
      </c>
      <c r="F280" s="81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9"/>
    </row>
    <row r="281" spans="1:25" ht="15.75">
      <c r="A281" s="71">
        <v>11</v>
      </c>
      <c r="B281" s="69" t="s">
        <v>1445</v>
      </c>
      <c r="C281" s="69">
        <v>242518421049</v>
      </c>
      <c r="D281" s="68" t="s">
        <v>150</v>
      </c>
      <c r="E281" s="70" t="s">
        <v>9</v>
      </c>
      <c r="F281" s="81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9"/>
    </row>
    <row r="282" spans="1:25" ht="15.75">
      <c r="A282" s="71">
        <v>12</v>
      </c>
      <c r="B282" s="69" t="s">
        <v>1446</v>
      </c>
      <c r="C282" s="69">
        <v>242518421050</v>
      </c>
      <c r="D282" s="68" t="s">
        <v>151</v>
      </c>
      <c r="E282" s="70" t="s">
        <v>15</v>
      </c>
      <c r="F282" s="81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9"/>
    </row>
    <row r="283" spans="1:25" ht="15.75">
      <c r="A283" s="71">
        <v>13</v>
      </c>
      <c r="B283" s="69" t="s">
        <v>1447</v>
      </c>
      <c r="C283" s="69">
        <v>242518421051</v>
      </c>
      <c r="D283" s="68" t="s">
        <v>152</v>
      </c>
      <c r="E283" s="70" t="s">
        <v>9</v>
      </c>
      <c r="F283" s="81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9"/>
    </row>
    <row r="284" spans="1:25" ht="15.75">
      <c r="A284" s="71">
        <v>14</v>
      </c>
      <c r="B284" s="69" t="s">
        <v>1448</v>
      </c>
      <c r="C284" s="69">
        <v>242518421052</v>
      </c>
      <c r="D284" s="68" t="s">
        <v>153</v>
      </c>
      <c r="E284" s="70" t="s">
        <v>9</v>
      </c>
      <c r="F284" s="81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9"/>
    </row>
    <row r="285" spans="1:25" ht="15.75">
      <c r="A285" s="71">
        <v>15</v>
      </c>
      <c r="B285" s="69" t="s">
        <v>1449</v>
      </c>
      <c r="C285" s="69">
        <v>242518421053</v>
      </c>
      <c r="D285" s="68" t="s">
        <v>154</v>
      </c>
      <c r="E285" s="70" t="s">
        <v>15</v>
      </c>
      <c r="F285" s="81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9"/>
    </row>
    <row r="286" spans="1:25" ht="15.75">
      <c r="A286" s="71">
        <v>16</v>
      </c>
      <c r="B286" s="69" t="s">
        <v>1450</v>
      </c>
      <c r="C286" s="69">
        <v>242518421054</v>
      </c>
      <c r="D286" s="68" t="s">
        <v>155</v>
      </c>
      <c r="E286" s="70" t="s">
        <v>9</v>
      </c>
      <c r="F286" s="81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9"/>
    </row>
    <row r="287" spans="1:25" ht="15.75">
      <c r="A287" s="71">
        <v>17</v>
      </c>
      <c r="B287" s="69" t="s">
        <v>1451</v>
      </c>
      <c r="C287" s="69">
        <v>242518421055</v>
      </c>
      <c r="D287" s="68" t="s">
        <v>156</v>
      </c>
      <c r="E287" s="70" t="s">
        <v>15</v>
      </c>
      <c r="F287" s="81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9"/>
    </row>
    <row r="288" spans="1:25" ht="15.75">
      <c r="A288" s="71">
        <v>18</v>
      </c>
      <c r="B288" s="69" t="s">
        <v>1452</v>
      </c>
      <c r="C288" s="69">
        <v>242518421056</v>
      </c>
      <c r="D288" s="68" t="s">
        <v>157</v>
      </c>
      <c r="E288" s="70" t="s">
        <v>9</v>
      </c>
      <c r="F288" s="81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9"/>
    </row>
    <row r="289" spans="1:25" ht="15.75">
      <c r="A289" s="71">
        <v>19</v>
      </c>
      <c r="B289" s="69" t="s">
        <v>1453</v>
      </c>
      <c r="C289" s="69">
        <v>242518421057</v>
      </c>
      <c r="D289" s="68" t="s">
        <v>158</v>
      </c>
      <c r="E289" s="70" t="s">
        <v>9</v>
      </c>
      <c r="F289" s="81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9"/>
    </row>
    <row r="290" spans="1:25" ht="15.75">
      <c r="A290" s="71">
        <v>20</v>
      </c>
      <c r="B290" s="69" t="s">
        <v>1454</v>
      </c>
      <c r="C290" s="69">
        <v>242518421058</v>
      </c>
      <c r="D290" s="68" t="s">
        <v>159</v>
      </c>
      <c r="E290" s="70" t="s">
        <v>9</v>
      </c>
      <c r="F290" s="81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9"/>
    </row>
    <row r="291" spans="1:25" ht="15.75">
      <c r="A291" s="71">
        <v>21</v>
      </c>
      <c r="B291" s="69" t="s">
        <v>1455</v>
      </c>
      <c r="C291" s="69">
        <v>242518421059</v>
      </c>
      <c r="D291" s="68" t="s">
        <v>160</v>
      </c>
      <c r="E291" s="70" t="s">
        <v>9</v>
      </c>
      <c r="F291" s="81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9"/>
    </row>
    <row r="292" spans="1:25" ht="15.75">
      <c r="A292" s="71">
        <v>22</v>
      </c>
      <c r="B292" s="69" t="s">
        <v>1456</v>
      </c>
      <c r="C292" s="69">
        <v>242518421060</v>
      </c>
      <c r="D292" s="68" t="s">
        <v>161</v>
      </c>
      <c r="E292" s="70" t="s">
        <v>9</v>
      </c>
      <c r="F292" s="81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9"/>
    </row>
    <row r="293" spans="1:25" ht="15.75">
      <c r="A293" s="71">
        <v>23</v>
      </c>
      <c r="B293" s="69" t="s">
        <v>1457</v>
      </c>
      <c r="C293" s="69">
        <v>242518421061</v>
      </c>
      <c r="D293" s="68" t="s">
        <v>162</v>
      </c>
      <c r="E293" s="70" t="s">
        <v>9</v>
      </c>
      <c r="F293" s="81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9"/>
    </row>
    <row r="294" spans="1:25" ht="15.75">
      <c r="A294" s="71">
        <v>24</v>
      </c>
      <c r="B294" s="69" t="s">
        <v>1458</v>
      </c>
      <c r="C294" s="69">
        <v>242518421062</v>
      </c>
      <c r="D294" s="68" t="s">
        <v>163</v>
      </c>
      <c r="E294" s="70" t="s">
        <v>15</v>
      </c>
      <c r="F294" s="81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9"/>
    </row>
    <row r="295" spans="1:25" ht="15.75">
      <c r="A295" s="115">
        <v>25</v>
      </c>
      <c r="B295" s="107" t="s">
        <v>1459</v>
      </c>
      <c r="C295" s="107">
        <v>242518421063</v>
      </c>
      <c r="D295" s="108" t="s">
        <v>164</v>
      </c>
      <c r="E295" s="116" t="s">
        <v>15</v>
      </c>
      <c r="F295" s="121"/>
      <c r="G295" s="11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9"/>
    </row>
    <row r="296" spans="1:25" ht="15.75">
      <c r="A296" s="115">
        <v>26</v>
      </c>
      <c r="B296" s="107" t="s">
        <v>1460</v>
      </c>
      <c r="C296" s="107">
        <v>242518421072</v>
      </c>
      <c r="D296" s="108" t="s">
        <v>838</v>
      </c>
      <c r="E296" s="116" t="s">
        <v>15</v>
      </c>
      <c r="F296" s="121"/>
      <c r="G296" s="11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9"/>
    </row>
    <row r="297" spans="1:25" ht="15.75">
      <c r="A297" s="115">
        <v>27</v>
      </c>
      <c r="B297" s="107" t="s">
        <v>1461</v>
      </c>
      <c r="C297" s="107">
        <v>242518421064</v>
      </c>
      <c r="D297" s="108" t="s">
        <v>165</v>
      </c>
      <c r="E297" s="116" t="s">
        <v>15</v>
      </c>
      <c r="F297" s="121"/>
      <c r="G297" s="11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9"/>
    </row>
    <row r="298" spans="1:25" ht="15.75">
      <c r="A298" s="115">
        <v>28</v>
      </c>
      <c r="B298" s="107" t="s">
        <v>1462</v>
      </c>
      <c r="C298" s="107">
        <v>242518421065</v>
      </c>
      <c r="D298" s="108" t="s">
        <v>167</v>
      </c>
      <c r="E298" s="116" t="s">
        <v>9</v>
      </c>
      <c r="F298" s="121"/>
      <c r="G298" s="11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9"/>
    </row>
    <row r="299" spans="1:25">
      <c r="A299" s="115">
        <v>29</v>
      </c>
      <c r="B299" s="107" t="s">
        <v>1463</v>
      </c>
      <c r="C299" s="107">
        <v>242518421066</v>
      </c>
      <c r="D299" s="108" t="s">
        <v>168</v>
      </c>
      <c r="E299" s="116" t="s">
        <v>9</v>
      </c>
      <c r="F299" s="121"/>
      <c r="G299" s="11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5">
      <c r="A300" s="115">
        <v>30</v>
      </c>
      <c r="B300" s="107" t="s">
        <v>1464</v>
      </c>
      <c r="C300" s="107">
        <v>242518421067</v>
      </c>
      <c r="D300" s="108" t="s">
        <v>839</v>
      </c>
      <c r="E300" s="116" t="s">
        <v>9</v>
      </c>
      <c r="F300" s="121"/>
      <c r="G300" s="11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5">
      <c r="A301" s="115">
        <v>31</v>
      </c>
      <c r="B301" s="107" t="s">
        <v>1465</v>
      </c>
      <c r="C301" s="107">
        <v>242518421068</v>
      </c>
      <c r="D301" s="108" t="s">
        <v>169</v>
      </c>
      <c r="E301" s="116" t="s">
        <v>15</v>
      </c>
      <c r="F301" s="121"/>
      <c r="G301" s="11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5">
      <c r="A302" s="115">
        <v>32</v>
      </c>
      <c r="B302" s="107" t="s">
        <v>1466</v>
      </c>
      <c r="C302" s="107">
        <v>242518421069</v>
      </c>
      <c r="D302" s="108" t="s">
        <v>170</v>
      </c>
      <c r="E302" s="116" t="s">
        <v>15</v>
      </c>
      <c r="F302" s="121"/>
      <c r="G302" s="11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5">
      <c r="A303" s="115">
        <v>33</v>
      </c>
      <c r="B303" s="107" t="s">
        <v>1467</v>
      </c>
      <c r="C303" s="107">
        <v>242518421070</v>
      </c>
      <c r="D303" s="108" t="s">
        <v>171</v>
      </c>
      <c r="E303" s="116" t="s">
        <v>9</v>
      </c>
      <c r="F303" s="121"/>
      <c r="G303" s="11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5">
      <c r="A304" s="115">
        <v>34</v>
      </c>
      <c r="B304" s="107" t="s">
        <v>1468</v>
      </c>
      <c r="C304" s="107">
        <v>242518421071</v>
      </c>
      <c r="D304" s="108" t="s">
        <v>172</v>
      </c>
      <c r="E304" s="116" t="s">
        <v>9</v>
      </c>
      <c r="F304" s="121"/>
      <c r="G304" s="11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5" ht="15.75">
      <c r="A305" s="203">
        <v>35</v>
      </c>
      <c r="B305" s="204"/>
      <c r="C305" s="204"/>
      <c r="D305" s="204"/>
      <c r="E305" s="116"/>
      <c r="F305" s="11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9"/>
    </row>
    <row r="306" spans="1:25">
      <c r="A306" s="227" t="s">
        <v>10</v>
      </c>
      <c r="B306" s="228"/>
      <c r="C306" s="228"/>
      <c r="D306" s="229"/>
      <c r="E306" s="89">
        <f>COUNTIF(E271:E304,"L")</f>
        <v>23</v>
      </c>
      <c r="G306" s="7"/>
      <c r="H306" s="7"/>
    </row>
    <row r="307" spans="1:25">
      <c r="A307" s="227" t="s">
        <v>11</v>
      </c>
      <c r="B307" s="228"/>
      <c r="C307" s="228"/>
      <c r="D307" s="229"/>
      <c r="E307" s="89">
        <f>COUNTIF(E271:E304,"P")</f>
        <v>11</v>
      </c>
      <c r="G307" s="2"/>
    </row>
    <row r="308" spans="1:25">
      <c r="A308" s="227" t="s">
        <v>864</v>
      </c>
      <c r="B308" s="228"/>
      <c r="C308" s="228"/>
      <c r="D308" s="229"/>
      <c r="E308" s="88">
        <f>SUM(E306:E307)</f>
        <v>34</v>
      </c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1"/>
      <c r="S308" s="2"/>
      <c r="T308" s="2"/>
      <c r="U308" s="2"/>
      <c r="V308" s="2"/>
      <c r="W308" s="2"/>
      <c r="X308" s="3"/>
      <c r="Y308" s="2"/>
    </row>
    <row r="309" spans="1:25">
      <c r="G309" s="2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1"/>
      <c r="S309" s="2"/>
      <c r="T309" s="2"/>
      <c r="U309" s="2"/>
      <c r="V309" s="2"/>
      <c r="W309" s="2"/>
      <c r="X309" s="3"/>
      <c r="Y309" s="2"/>
    </row>
    <row r="310" spans="1:25">
      <c r="A310" s="1" t="s">
        <v>12</v>
      </c>
      <c r="B310" s="1"/>
      <c r="C310" s="1"/>
      <c r="D310" s="1"/>
      <c r="E310" s="1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1" t="s">
        <v>1605</v>
      </c>
      <c r="Q310" s="2"/>
      <c r="T310" s="2"/>
      <c r="U310" s="2"/>
      <c r="V310" s="2"/>
      <c r="W310" s="2"/>
      <c r="X310" s="3"/>
      <c r="Y310" s="2"/>
    </row>
    <row r="311" spans="1:25">
      <c r="A311" s="1" t="s">
        <v>13</v>
      </c>
      <c r="B311" s="1"/>
      <c r="C311" s="1"/>
      <c r="D311" s="1"/>
      <c r="E311" s="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1" t="s">
        <v>14</v>
      </c>
      <c r="Q311" s="3"/>
      <c r="S311" s="2"/>
      <c r="T311" s="2"/>
      <c r="U311" s="2"/>
      <c r="V311" s="2"/>
      <c r="W311" s="2"/>
      <c r="X311" s="3"/>
      <c r="Y311" s="2"/>
    </row>
    <row r="312" spans="1:25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"/>
      <c r="Q312" s="3"/>
      <c r="S312" s="2"/>
      <c r="T312" s="2"/>
      <c r="U312" s="2"/>
      <c r="V312" s="2"/>
      <c r="W312" s="2"/>
      <c r="X312" s="3"/>
      <c r="Y312" s="2"/>
    </row>
    <row r="313" spans="1:25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S313" s="2"/>
      <c r="T313" s="2"/>
      <c r="U313" s="2"/>
      <c r="V313" s="2"/>
      <c r="W313" s="2"/>
      <c r="X313" s="2"/>
      <c r="Y313" s="2"/>
    </row>
    <row r="314" spans="1:25" ht="15.75">
      <c r="A314" s="8" t="s">
        <v>854</v>
      </c>
      <c r="B314" s="8"/>
      <c r="C314" s="8"/>
      <c r="D314" s="8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8" t="s">
        <v>16</v>
      </c>
      <c r="Q314" s="8"/>
      <c r="S314" s="2"/>
      <c r="T314" s="9"/>
      <c r="U314" s="9"/>
      <c r="V314" s="9"/>
      <c r="W314" s="9"/>
      <c r="X314" s="9"/>
      <c r="Y314" s="9"/>
    </row>
    <row r="315" spans="1:25" ht="15.75">
      <c r="A315" s="8" t="s">
        <v>855</v>
      </c>
      <c r="B315" s="8"/>
      <c r="C315" s="8"/>
      <c r="D315" s="8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8" t="s">
        <v>17</v>
      </c>
      <c r="Q315" s="2"/>
      <c r="T315" s="9"/>
      <c r="U315" s="9"/>
      <c r="V315" s="9"/>
    </row>
    <row r="316" spans="1:25" ht="15.75">
      <c r="A316" s="8"/>
      <c r="B316" s="8"/>
      <c r="C316" s="8"/>
      <c r="D316" s="8"/>
      <c r="E316" s="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8"/>
      <c r="Q316" s="2"/>
      <c r="T316" s="9"/>
      <c r="U316" s="9"/>
      <c r="V316" s="9"/>
    </row>
    <row r="317" spans="1:25" ht="15.75">
      <c r="A317" s="8"/>
      <c r="B317" s="8"/>
      <c r="C317" s="8"/>
      <c r="D317" s="8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8"/>
      <c r="Q317" s="2"/>
      <c r="T317" s="9"/>
      <c r="U317" s="9"/>
      <c r="V317" s="9"/>
    </row>
    <row r="327" spans="1:25" ht="15.75">
      <c r="A327" s="211" t="s">
        <v>132</v>
      </c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</row>
    <row r="328" spans="1:25" ht="15.75">
      <c r="A328" s="211" t="s">
        <v>0</v>
      </c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8"/>
    </row>
    <row r="329" spans="1:25" ht="15.75">
      <c r="Y329" s="8"/>
    </row>
    <row r="330" spans="1:25" ht="15.75">
      <c r="A330" s="21" t="s">
        <v>133</v>
      </c>
      <c r="B330" s="21"/>
      <c r="C330" s="22" t="s">
        <v>1611</v>
      </c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>
      <c r="A331" s="18" t="s">
        <v>134</v>
      </c>
      <c r="B331" s="18"/>
      <c r="C331" s="15" t="s">
        <v>135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5.75">
      <c r="A332" s="21" t="s">
        <v>136</v>
      </c>
      <c r="B332" s="21"/>
      <c r="C332" s="22" t="s">
        <v>2619</v>
      </c>
      <c r="D332" s="1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>
      <c r="A333" s="24"/>
      <c r="B333" s="24"/>
      <c r="C333" s="24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</row>
    <row r="334" spans="1:25">
      <c r="A334" s="206" t="s">
        <v>1</v>
      </c>
      <c r="B334" s="206" t="s">
        <v>18</v>
      </c>
      <c r="C334" s="206" t="s">
        <v>2</v>
      </c>
      <c r="D334" s="206" t="s">
        <v>137</v>
      </c>
      <c r="E334" s="213" t="s">
        <v>3</v>
      </c>
      <c r="F334" s="208" t="s">
        <v>4</v>
      </c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10"/>
      <c r="V334" s="208" t="s">
        <v>5</v>
      </c>
      <c r="W334" s="209"/>
      <c r="X334" s="210"/>
    </row>
    <row r="335" spans="1:25" ht="15.75">
      <c r="A335" s="207"/>
      <c r="B335" s="207"/>
      <c r="C335" s="207"/>
      <c r="D335" s="207"/>
      <c r="E335" s="214"/>
      <c r="F335" s="25">
        <v>1</v>
      </c>
      <c r="G335" s="25">
        <v>2</v>
      </c>
      <c r="H335" s="25">
        <v>3</v>
      </c>
      <c r="I335" s="25">
        <v>4</v>
      </c>
      <c r="J335" s="25">
        <v>5</v>
      </c>
      <c r="K335" s="25">
        <v>6</v>
      </c>
      <c r="L335" s="25">
        <v>7</v>
      </c>
      <c r="M335" s="25">
        <v>8</v>
      </c>
      <c r="N335" s="25">
        <v>9</v>
      </c>
      <c r="O335" s="25">
        <v>10</v>
      </c>
      <c r="P335" s="25">
        <v>11</v>
      </c>
      <c r="Q335" s="25">
        <v>12</v>
      </c>
      <c r="R335" s="25">
        <v>13</v>
      </c>
      <c r="S335" s="25">
        <v>14</v>
      </c>
      <c r="T335" s="25">
        <v>15</v>
      </c>
      <c r="U335" s="25">
        <v>16</v>
      </c>
      <c r="V335" s="25" t="s">
        <v>6</v>
      </c>
      <c r="W335" s="25" t="s">
        <v>7</v>
      </c>
      <c r="X335" s="25" t="s">
        <v>8</v>
      </c>
      <c r="Y335" s="9"/>
    </row>
    <row r="336" spans="1:25" ht="15.75">
      <c r="A336" s="71">
        <v>1</v>
      </c>
      <c r="B336" s="69" t="s">
        <v>1400</v>
      </c>
      <c r="C336" s="69">
        <v>242518421107</v>
      </c>
      <c r="D336" s="68" t="s">
        <v>840</v>
      </c>
      <c r="E336" s="70" t="s">
        <v>9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9"/>
    </row>
    <row r="337" spans="1:25" ht="15.75">
      <c r="A337" s="71">
        <v>2</v>
      </c>
      <c r="B337" s="69" t="s">
        <v>1401</v>
      </c>
      <c r="C337" s="69">
        <v>242518421007</v>
      </c>
      <c r="D337" s="68" t="s">
        <v>111</v>
      </c>
      <c r="E337" s="70" t="s">
        <v>9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9"/>
    </row>
    <row r="338" spans="1:25" ht="15.75">
      <c r="A338" s="71">
        <v>3</v>
      </c>
      <c r="B338" s="69" t="s">
        <v>1402</v>
      </c>
      <c r="C338" s="69">
        <v>242518421073</v>
      </c>
      <c r="D338" s="68" t="s">
        <v>173</v>
      </c>
      <c r="E338" s="70" t="s">
        <v>9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9"/>
    </row>
    <row r="339" spans="1:25" ht="15.75">
      <c r="A339" s="71">
        <v>4</v>
      </c>
      <c r="B339" s="69" t="s">
        <v>1403</v>
      </c>
      <c r="C339" s="69">
        <v>242518421074</v>
      </c>
      <c r="D339" s="68" t="s">
        <v>174</v>
      </c>
      <c r="E339" s="70" t="s">
        <v>9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9"/>
    </row>
    <row r="340" spans="1:25" ht="15.75">
      <c r="A340" s="71">
        <v>5</v>
      </c>
      <c r="B340" s="69" t="s">
        <v>1404</v>
      </c>
      <c r="C340" s="69">
        <v>242518421075</v>
      </c>
      <c r="D340" s="68" t="s">
        <v>175</v>
      </c>
      <c r="E340" s="70" t="s">
        <v>9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9"/>
    </row>
    <row r="341" spans="1:25" ht="15.75">
      <c r="A341" s="71">
        <v>6</v>
      </c>
      <c r="B341" s="69" t="s">
        <v>1405</v>
      </c>
      <c r="C341" s="69">
        <v>242518421076</v>
      </c>
      <c r="D341" s="68" t="s">
        <v>176</v>
      </c>
      <c r="E341" s="70" t="s">
        <v>9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9"/>
    </row>
    <row r="342" spans="1:25" ht="15.75">
      <c r="A342" s="71">
        <v>7</v>
      </c>
      <c r="B342" s="69" t="s">
        <v>1406</v>
      </c>
      <c r="C342" s="69">
        <v>242518421077</v>
      </c>
      <c r="D342" s="68" t="s">
        <v>177</v>
      </c>
      <c r="E342" s="70" t="s">
        <v>15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9"/>
    </row>
    <row r="343" spans="1:25" ht="15.75">
      <c r="A343" s="71">
        <v>8</v>
      </c>
      <c r="B343" s="69" t="s">
        <v>1407</v>
      </c>
      <c r="C343" s="69">
        <v>242518421078</v>
      </c>
      <c r="D343" s="68" t="s">
        <v>178</v>
      </c>
      <c r="E343" s="70" t="s">
        <v>9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9"/>
    </row>
    <row r="344" spans="1:25" ht="15.75">
      <c r="A344" s="71">
        <v>9</v>
      </c>
      <c r="B344" s="69" t="s">
        <v>1408</v>
      </c>
      <c r="C344" s="69">
        <v>242518421079</v>
      </c>
      <c r="D344" s="68" t="s">
        <v>841</v>
      </c>
      <c r="E344" s="70" t="s">
        <v>9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9"/>
    </row>
    <row r="345" spans="1:25" ht="15.75">
      <c r="A345" s="71">
        <v>10</v>
      </c>
      <c r="B345" s="69" t="s">
        <v>1409</v>
      </c>
      <c r="C345" s="69">
        <v>242518421080</v>
      </c>
      <c r="D345" s="68" t="s">
        <v>179</v>
      </c>
      <c r="E345" s="70" t="s">
        <v>9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9"/>
    </row>
    <row r="346" spans="1:25" ht="15.75">
      <c r="A346" s="71">
        <v>11</v>
      </c>
      <c r="B346" s="69" t="s">
        <v>1410</v>
      </c>
      <c r="C346" s="69">
        <v>242518421081</v>
      </c>
      <c r="D346" s="68" t="s">
        <v>180</v>
      </c>
      <c r="E346" s="70" t="s">
        <v>15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9"/>
    </row>
    <row r="347" spans="1:25" ht="15.75">
      <c r="A347" s="71">
        <v>12</v>
      </c>
      <c r="B347" s="69" t="s">
        <v>1411</v>
      </c>
      <c r="C347" s="69">
        <v>242518421082</v>
      </c>
      <c r="D347" s="68" t="s">
        <v>181</v>
      </c>
      <c r="E347" s="70" t="s">
        <v>15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9"/>
    </row>
    <row r="348" spans="1:25" ht="15.75">
      <c r="A348" s="71">
        <v>13</v>
      </c>
      <c r="B348" s="69" t="s">
        <v>1412</v>
      </c>
      <c r="C348" s="69">
        <v>242518421083</v>
      </c>
      <c r="D348" s="68" t="s">
        <v>182</v>
      </c>
      <c r="E348" s="70" t="s">
        <v>15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9"/>
    </row>
    <row r="349" spans="1:25" ht="15.75">
      <c r="A349" s="71">
        <v>14</v>
      </c>
      <c r="B349" s="69" t="s">
        <v>1413</v>
      </c>
      <c r="C349" s="69">
        <v>242518421084</v>
      </c>
      <c r="D349" s="68" t="s">
        <v>183</v>
      </c>
      <c r="E349" s="70" t="s">
        <v>9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9"/>
    </row>
    <row r="350" spans="1:25" ht="15.75">
      <c r="A350" s="71">
        <v>15</v>
      </c>
      <c r="B350" s="69" t="s">
        <v>1414</v>
      </c>
      <c r="C350" s="69">
        <v>242518421086</v>
      </c>
      <c r="D350" s="68" t="s">
        <v>184</v>
      </c>
      <c r="E350" s="70" t="s">
        <v>9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9"/>
    </row>
    <row r="351" spans="1:25" ht="15.75">
      <c r="A351" s="71">
        <v>16</v>
      </c>
      <c r="B351" s="69" t="s">
        <v>1415</v>
      </c>
      <c r="C351" s="69">
        <v>242518421087</v>
      </c>
      <c r="D351" s="68" t="s">
        <v>185</v>
      </c>
      <c r="E351" s="70" t="s">
        <v>15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9"/>
    </row>
    <row r="352" spans="1:25" ht="15.75">
      <c r="A352" s="71">
        <v>17</v>
      </c>
      <c r="B352" s="69" t="s">
        <v>1416</v>
      </c>
      <c r="C352" s="69">
        <v>242518421088</v>
      </c>
      <c r="D352" s="68" t="s">
        <v>186</v>
      </c>
      <c r="E352" s="70" t="s">
        <v>9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9"/>
    </row>
    <row r="353" spans="1:26" ht="15.75">
      <c r="A353" s="71">
        <v>18</v>
      </c>
      <c r="B353" s="69" t="s">
        <v>1417</v>
      </c>
      <c r="C353" s="69">
        <v>242518421089</v>
      </c>
      <c r="D353" s="68" t="s">
        <v>187</v>
      </c>
      <c r="E353" s="70" t="s">
        <v>15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9"/>
    </row>
    <row r="354" spans="1:26" ht="15.75">
      <c r="A354" s="71">
        <v>19</v>
      </c>
      <c r="B354" s="69" t="s">
        <v>1418</v>
      </c>
      <c r="C354" s="69">
        <v>242518421090</v>
      </c>
      <c r="D354" s="68" t="s">
        <v>188</v>
      </c>
      <c r="E354" s="70" t="s">
        <v>9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9"/>
    </row>
    <row r="355" spans="1:26" ht="15.75">
      <c r="A355" s="71">
        <v>20</v>
      </c>
      <c r="B355" s="69" t="s">
        <v>1419</v>
      </c>
      <c r="C355" s="69">
        <v>242518421091</v>
      </c>
      <c r="D355" s="68" t="s">
        <v>19</v>
      </c>
      <c r="E355" s="70" t="s">
        <v>9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9"/>
    </row>
    <row r="356" spans="1:26" ht="15.75">
      <c r="A356" s="71">
        <v>21</v>
      </c>
      <c r="B356" s="69" t="s">
        <v>1420</v>
      </c>
      <c r="C356" s="69">
        <v>242518421093</v>
      </c>
      <c r="D356" s="68" t="s">
        <v>189</v>
      </c>
      <c r="E356" s="70" t="s">
        <v>9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9"/>
    </row>
    <row r="357" spans="1:26" ht="15.75">
      <c r="A357" s="71">
        <v>22</v>
      </c>
      <c r="B357" s="69" t="s">
        <v>1421</v>
      </c>
      <c r="C357" s="69">
        <v>242518421094</v>
      </c>
      <c r="D357" s="68" t="s">
        <v>190</v>
      </c>
      <c r="E357" s="70" t="s">
        <v>9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9"/>
    </row>
    <row r="358" spans="1:26" ht="15.75">
      <c r="A358" s="71">
        <v>23</v>
      </c>
      <c r="B358" s="69" t="s">
        <v>1422</v>
      </c>
      <c r="C358" s="69">
        <v>242518421095</v>
      </c>
      <c r="D358" s="68" t="s">
        <v>191</v>
      </c>
      <c r="E358" s="70" t="s">
        <v>9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9"/>
    </row>
    <row r="359" spans="1:26" ht="15.75">
      <c r="A359" s="71">
        <v>24</v>
      </c>
      <c r="B359" s="69" t="s">
        <v>1423</v>
      </c>
      <c r="C359" s="69">
        <v>242518421096</v>
      </c>
      <c r="D359" s="68" t="s">
        <v>192</v>
      </c>
      <c r="E359" s="70" t="s">
        <v>15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9"/>
    </row>
    <row r="360" spans="1:26" s="113" customFormat="1" ht="15.75">
      <c r="A360" s="115">
        <v>25</v>
      </c>
      <c r="B360" s="107" t="s">
        <v>1424</v>
      </c>
      <c r="C360" s="107">
        <v>242518421097</v>
      </c>
      <c r="D360" s="108" t="s">
        <v>842</v>
      </c>
      <c r="E360" s="116" t="s">
        <v>15</v>
      </c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1"/>
      <c r="Z360" s="112"/>
    </row>
    <row r="361" spans="1:26" s="113" customFormat="1" ht="15.75">
      <c r="A361" s="115">
        <v>26</v>
      </c>
      <c r="B361" s="107" t="s">
        <v>1425</v>
      </c>
      <c r="C361" s="107">
        <v>242518421098</v>
      </c>
      <c r="D361" s="108" t="s">
        <v>193</v>
      </c>
      <c r="E361" s="116" t="s">
        <v>15</v>
      </c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1"/>
      <c r="Z361" s="112"/>
    </row>
    <row r="362" spans="1:26" s="113" customFormat="1">
      <c r="A362" s="115">
        <v>27</v>
      </c>
      <c r="B362" s="107" t="s">
        <v>1426</v>
      </c>
      <c r="C362" s="107">
        <v>242518421108</v>
      </c>
      <c r="D362" s="108" t="s">
        <v>166</v>
      </c>
      <c r="E362" s="116" t="s">
        <v>9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2"/>
      <c r="Z362" s="112"/>
    </row>
    <row r="363" spans="1:26" s="113" customFormat="1">
      <c r="A363" s="115">
        <v>28</v>
      </c>
      <c r="B363" s="107" t="s">
        <v>1427</v>
      </c>
      <c r="C363" s="107">
        <v>242518421099</v>
      </c>
      <c r="D363" s="108" t="s">
        <v>194</v>
      </c>
      <c r="E363" s="116" t="s">
        <v>9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2"/>
      <c r="Z363" s="112"/>
    </row>
    <row r="364" spans="1:26" s="113" customFormat="1">
      <c r="A364" s="115">
        <v>29</v>
      </c>
      <c r="B364" s="107" t="s">
        <v>1428</v>
      </c>
      <c r="C364" s="107">
        <v>242518421100</v>
      </c>
      <c r="D364" s="108" t="s">
        <v>195</v>
      </c>
      <c r="E364" s="116" t="s">
        <v>15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2"/>
      <c r="Z364" s="112"/>
    </row>
    <row r="365" spans="1:26" s="113" customFormat="1">
      <c r="A365" s="115">
        <v>30</v>
      </c>
      <c r="B365" s="107" t="s">
        <v>1429</v>
      </c>
      <c r="C365" s="107">
        <v>242518421101</v>
      </c>
      <c r="D365" s="108" t="s">
        <v>196</v>
      </c>
      <c r="E365" s="116" t="s">
        <v>9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2"/>
      <c r="Z365" s="112"/>
    </row>
    <row r="366" spans="1:26" s="113" customFormat="1">
      <c r="A366" s="115">
        <v>31</v>
      </c>
      <c r="B366" s="107" t="s">
        <v>1430</v>
      </c>
      <c r="C366" s="107">
        <v>242518421102</v>
      </c>
      <c r="D366" s="108" t="s">
        <v>197</v>
      </c>
      <c r="E366" s="116" t="s">
        <v>9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2"/>
      <c r="Z366" s="112"/>
    </row>
    <row r="367" spans="1:26" s="113" customFormat="1">
      <c r="A367" s="115">
        <v>32</v>
      </c>
      <c r="B367" s="107" t="s">
        <v>1431</v>
      </c>
      <c r="C367" s="107">
        <v>242518421103</v>
      </c>
      <c r="D367" s="108" t="s">
        <v>198</v>
      </c>
      <c r="E367" s="116" t="s">
        <v>15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2"/>
      <c r="Z367" s="112"/>
    </row>
    <row r="368" spans="1:26" s="113" customFormat="1">
      <c r="A368" s="115">
        <v>33</v>
      </c>
      <c r="B368" s="107" t="s">
        <v>1432</v>
      </c>
      <c r="C368" s="107">
        <v>242518421104</v>
      </c>
      <c r="D368" s="108" t="s">
        <v>199</v>
      </c>
      <c r="E368" s="116" t="s">
        <v>15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2"/>
      <c r="Z368" s="112"/>
    </row>
    <row r="369" spans="1:26" s="113" customFormat="1" ht="15.75">
      <c r="A369" s="115">
        <v>34</v>
      </c>
      <c r="B369" s="107" t="s">
        <v>1433</v>
      </c>
      <c r="C369" s="107">
        <v>242518421105</v>
      </c>
      <c r="D369" s="108" t="s">
        <v>200</v>
      </c>
      <c r="E369" s="116" t="s">
        <v>9</v>
      </c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1"/>
      <c r="Z369" s="112"/>
    </row>
    <row r="370" spans="1:26" s="113" customFormat="1" ht="15.75">
      <c r="A370" s="115">
        <v>35</v>
      </c>
      <c r="B370" s="107" t="s">
        <v>1434</v>
      </c>
      <c r="C370" s="107">
        <v>242518421106</v>
      </c>
      <c r="D370" s="108" t="s">
        <v>201</v>
      </c>
      <c r="E370" s="116" t="s">
        <v>9</v>
      </c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1"/>
      <c r="Z370" s="112"/>
    </row>
    <row r="371" spans="1:26">
      <c r="A371" s="227" t="s">
        <v>10</v>
      </c>
      <c r="B371" s="228"/>
      <c r="C371" s="228"/>
      <c r="D371" s="229"/>
      <c r="E371" s="88">
        <f>COUNTIF(E336:E370,"L")</f>
        <v>23</v>
      </c>
      <c r="G371" s="7"/>
      <c r="H371" s="7"/>
    </row>
    <row r="372" spans="1:26">
      <c r="A372" s="227" t="s">
        <v>11</v>
      </c>
      <c r="B372" s="228"/>
      <c r="C372" s="228"/>
      <c r="D372" s="229"/>
      <c r="E372" s="89">
        <f>COUNTIF(E336:E370,"P")</f>
        <v>12</v>
      </c>
      <c r="G372" s="2"/>
    </row>
    <row r="373" spans="1:26">
      <c r="A373" s="227" t="s">
        <v>864</v>
      </c>
      <c r="B373" s="228"/>
      <c r="C373" s="228"/>
      <c r="D373" s="229"/>
      <c r="E373" s="87">
        <v>35</v>
      </c>
      <c r="G373" s="2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1"/>
      <c r="S373" s="2"/>
      <c r="T373" s="2"/>
      <c r="U373" s="2"/>
      <c r="V373" s="2"/>
      <c r="W373" s="2"/>
      <c r="X373" s="3"/>
      <c r="Y373" s="2"/>
    </row>
    <row r="374" spans="1:26">
      <c r="A374" s="3"/>
      <c r="B374" s="3"/>
      <c r="C374" s="3"/>
      <c r="D374" s="43"/>
      <c r="E374" s="41"/>
      <c r="G374" s="2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1"/>
      <c r="S374" s="2"/>
      <c r="T374" s="2"/>
      <c r="U374" s="2"/>
      <c r="V374" s="2"/>
      <c r="W374" s="2"/>
      <c r="X374" s="3"/>
      <c r="Y374" s="2"/>
    </row>
    <row r="375" spans="1:26">
      <c r="A375" s="1" t="s">
        <v>12</v>
      </c>
      <c r="B375" s="1"/>
      <c r="C375" s="1"/>
      <c r="D375" s="1"/>
      <c r="E375" s="1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1" t="s">
        <v>1605</v>
      </c>
      <c r="Q375" s="2"/>
      <c r="T375" s="2"/>
      <c r="U375" s="2"/>
      <c r="V375" s="2"/>
      <c r="W375" s="2"/>
      <c r="X375" s="3"/>
      <c r="Y375" s="2"/>
    </row>
    <row r="376" spans="1:26">
      <c r="A376" s="1" t="s">
        <v>13</v>
      </c>
      <c r="B376" s="1"/>
      <c r="C376" s="1"/>
      <c r="D376" s="1"/>
      <c r="E376" s="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1" t="s">
        <v>14</v>
      </c>
      <c r="Q376" s="3"/>
      <c r="S376" s="2"/>
      <c r="T376" s="2"/>
      <c r="U376" s="2"/>
      <c r="V376" s="2"/>
      <c r="W376" s="2"/>
      <c r="X376" s="3"/>
      <c r="Y376" s="2"/>
    </row>
    <row r="377" spans="1:26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1"/>
      <c r="Q377" s="3"/>
      <c r="S377" s="2"/>
      <c r="T377" s="2"/>
      <c r="U377" s="2"/>
      <c r="V377" s="2"/>
      <c r="W377" s="2"/>
      <c r="X377" s="3"/>
      <c r="Y377" s="2"/>
    </row>
    <row r="378" spans="1:26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S378" s="2"/>
      <c r="T378" s="2"/>
      <c r="U378" s="2"/>
      <c r="V378" s="2"/>
      <c r="W378" s="2"/>
      <c r="X378" s="2"/>
      <c r="Y378" s="2"/>
    </row>
    <row r="379" spans="1:26" ht="15.75">
      <c r="A379" s="8" t="s">
        <v>854</v>
      </c>
      <c r="B379" s="8"/>
      <c r="C379" s="8"/>
      <c r="D379" s="8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8" t="s">
        <v>16</v>
      </c>
      <c r="Q379" s="8"/>
      <c r="S379" s="2"/>
      <c r="T379" s="9"/>
      <c r="U379" s="9"/>
      <c r="V379" s="9"/>
      <c r="W379" s="9"/>
      <c r="X379" s="9"/>
      <c r="Y379" s="9"/>
    </row>
    <row r="380" spans="1:26" ht="15.75">
      <c r="A380" s="8" t="s">
        <v>855</v>
      </c>
      <c r="B380" s="8"/>
      <c r="C380" s="8"/>
      <c r="D380" s="8"/>
      <c r="E380" s="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8" t="s">
        <v>17</v>
      </c>
      <c r="Q380" s="2"/>
      <c r="T380" s="9"/>
      <c r="U380" s="9"/>
      <c r="V380" s="9"/>
    </row>
    <row r="381" spans="1:26" ht="15.75">
      <c r="A381" s="8"/>
      <c r="B381" s="8"/>
      <c r="C381" s="8"/>
      <c r="D381" s="8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8"/>
      <c r="Q381" s="2"/>
      <c r="T381" s="9"/>
      <c r="U381" s="9"/>
      <c r="V381" s="9"/>
    </row>
    <row r="382" spans="1:26" ht="15.75">
      <c r="A382" s="8"/>
      <c r="B382" s="8"/>
      <c r="C382" s="8"/>
      <c r="D382" s="8"/>
      <c r="E382" s="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8"/>
      <c r="Q382" s="2"/>
      <c r="T382" s="9"/>
      <c r="U382" s="9"/>
      <c r="V382" s="9"/>
    </row>
    <row r="383" spans="1:26" ht="15.75">
      <c r="A383" s="8"/>
      <c r="B383" s="8"/>
      <c r="C383" s="8"/>
      <c r="D383" s="8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8"/>
      <c r="Q383" s="2"/>
      <c r="T383" s="9"/>
      <c r="U383" s="9"/>
      <c r="V383" s="9"/>
    </row>
    <row r="384" spans="1:26" ht="15.75">
      <c r="A384" s="8"/>
      <c r="B384" s="8"/>
      <c r="C384" s="8"/>
      <c r="D384" s="8"/>
      <c r="E384" s="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8"/>
      <c r="Q384" s="2"/>
      <c r="T384" s="9"/>
      <c r="U384" s="9"/>
      <c r="V384" s="9"/>
    </row>
    <row r="385" spans="1:25" ht="15.75">
      <c r="A385" s="8"/>
      <c r="B385" s="8"/>
      <c r="C385" s="8"/>
      <c r="D385" s="8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8"/>
      <c r="Q385" s="2"/>
      <c r="T385" s="9"/>
      <c r="U385" s="9"/>
      <c r="V385" s="9"/>
    </row>
    <row r="393" spans="1:25" ht="15.75">
      <c r="A393" s="211" t="s">
        <v>132</v>
      </c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</row>
    <row r="394" spans="1:25" ht="15.75">
      <c r="A394" s="211" t="s">
        <v>0</v>
      </c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</row>
    <row r="395" spans="1:25" ht="15.75">
      <c r="A395" s="21" t="s">
        <v>133</v>
      </c>
      <c r="B395" s="21"/>
      <c r="C395" s="22" t="s">
        <v>2631</v>
      </c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 spans="1:25">
      <c r="A396" s="18" t="s">
        <v>134</v>
      </c>
      <c r="B396" s="18"/>
      <c r="C396" s="15" t="s">
        <v>135</v>
      </c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5" ht="15.75">
      <c r="A397" s="21" t="s">
        <v>136</v>
      </c>
      <c r="B397" s="21"/>
      <c r="C397" s="22" t="s">
        <v>858</v>
      </c>
      <c r="D397" s="14"/>
    </row>
    <row r="398" spans="1:25">
      <c r="A398" s="24"/>
      <c r="B398" s="24"/>
      <c r="C398" s="24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 spans="1:25"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</row>
    <row r="400" spans="1:25">
      <c r="A400" s="206" t="s">
        <v>1</v>
      </c>
      <c r="B400" s="206" t="s">
        <v>18</v>
      </c>
      <c r="C400" s="206" t="s">
        <v>2</v>
      </c>
      <c r="D400" s="206" t="s">
        <v>137</v>
      </c>
      <c r="E400" s="213" t="s">
        <v>3</v>
      </c>
      <c r="F400" s="208" t="s">
        <v>4</v>
      </c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10"/>
      <c r="V400" s="208" t="s">
        <v>5</v>
      </c>
      <c r="W400" s="209"/>
      <c r="X400" s="210"/>
    </row>
    <row r="401" spans="1:24">
      <c r="A401" s="207"/>
      <c r="B401" s="207"/>
      <c r="C401" s="207"/>
      <c r="D401" s="207"/>
      <c r="E401" s="214"/>
      <c r="F401" s="25">
        <v>1</v>
      </c>
      <c r="G401" s="25">
        <v>2</v>
      </c>
      <c r="H401" s="25">
        <v>3</v>
      </c>
      <c r="I401" s="25">
        <v>4</v>
      </c>
      <c r="J401" s="25">
        <v>5</v>
      </c>
      <c r="K401" s="25">
        <v>6</v>
      </c>
      <c r="L401" s="25">
        <v>7</v>
      </c>
      <c r="M401" s="25">
        <v>8</v>
      </c>
      <c r="N401" s="25">
        <v>9</v>
      </c>
      <c r="O401" s="25">
        <v>10</v>
      </c>
      <c r="P401" s="25">
        <v>11</v>
      </c>
      <c r="Q401" s="25">
        <v>12</v>
      </c>
      <c r="R401" s="25">
        <v>13</v>
      </c>
      <c r="S401" s="25">
        <v>14</v>
      </c>
      <c r="T401" s="25">
        <v>15</v>
      </c>
      <c r="U401" s="25">
        <v>16</v>
      </c>
      <c r="V401" s="25" t="s">
        <v>6</v>
      </c>
      <c r="W401" s="25" t="s">
        <v>7</v>
      </c>
      <c r="X401" s="25" t="s">
        <v>8</v>
      </c>
    </row>
    <row r="402" spans="1:24">
      <c r="A402" s="71">
        <v>1</v>
      </c>
      <c r="B402" s="69" t="s">
        <v>1366</v>
      </c>
      <c r="C402" s="69">
        <v>242518102001</v>
      </c>
      <c r="D402" s="68" t="s">
        <v>202</v>
      </c>
      <c r="E402" s="70" t="s">
        <v>9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>
      <c r="A403" s="71">
        <v>2</v>
      </c>
      <c r="B403" s="69" t="s">
        <v>1367</v>
      </c>
      <c r="C403" s="69">
        <v>242518102002</v>
      </c>
      <c r="D403" s="68" t="s">
        <v>203</v>
      </c>
      <c r="E403" s="70" t="s">
        <v>15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>
      <c r="A404" s="71">
        <v>3</v>
      </c>
      <c r="B404" s="69" t="s">
        <v>1368</v>
      </c>
      <c r="C404" s="69">
        <v>242518102003</v>
      </c>
      <c r="D404" s="68" t="s">
        <v>358</v>
      </c>
      <c r="E404" s="70" t="s">
        <v>15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>
      <c r="A405" s="71">
        <v>4</v>
      </c>
      <c r="B405" s="69" t="s">
        <v>1369</v>
      </c>
      <c r="C405" s="69">
        <v>242518102004</v>
      </c>
      <c r="D405" s="68" t="s">
        <v>359</v>
      </c>
      <c r="E405" s="70" t="s">
        <v>15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>
      <c r="A406" s="71">
        <v>5</v>
      </c>
      <c r="B406" s="69" t="s">
        <v>1370</v>
      </c>
      <c r="C406" s="69">
        <v>242518102005</v>
      </c>
      <c r="D406" s="68" t="s">
        <v>360</v>
      </c>
      <c r="E406" s="70" t="s">
        <v>15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>
      <c r="A407" s="71">
        <v>6</v>
      </c>
      <c r="B407" s="69" t="s">
        <v>1371</v>
      </c>
      <c r="C407" s="69">
        <v>242518102006</v>
      </c>
      <c r="D407" s="68" t="s">
        <v>361</v>
      </c>
      <c r="E407" s="70" t="s">
        <v>15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>
      <c r="A408" s="71">
        <v>7</v>
      </c>
      <c r="B408" s="69" t="s">
        <v>1372</v>
      </c>
      <c r="C408" s="69">
        <v>242518102007</v>
      </c>
      <c r="D408" s="68" t="s">
        <v>362</v>
      </c>
      <c r="E408" s="70" t="s">
        <v>15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>
      <c r="A409" s="71">
        <v>8</v>
      </c>
      <c r="B409" s="69" t="s">
        <v>1373</v>
      </c>
      <c r="C409" s="69">
        <v>242518102008</v>
      </c>
      <c r="D409" s="68" t="s">
        <v>363</v>
      </c>
      <c r="E409" s="70" t="s">
        <v>15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>
      <c r="A410" s="71">
        <v>9</v>
      </c>
      <c r="B410" s="69" t="s">
        <v>1374</v>
      </c>
      <c r="C410" s="69">
        <v>242518102013</v>
      </c>
      <c r="D410" s="68" t="s">
        <v>823</v>
      </c>
      <c r="E410" s="70" t="s">
        <v>9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>
      <c r="A411" s="71">
        <v>10</v>
      </c>
      <c r="B411" s="69" t="s">
        <v>1375</v>
      </c>
      <c r="C411" s="69">
        <v>242518102010</v>
      </c>
      <c r="D411" s="68" t="s">
        <v>364</v>
      </c>
      <c r="E411" s="70" t="s">
        <v>15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>
      <c r="A412" s="71">
        <v>11</v>
      </c>
      <c r="B412" s="69" t="s">
        <v>1376</v>
      </c>
      <c r="C412" s="69">
        <v>242518102011</v>
      </c>
      <c r="D412" s="68" t="s">
        <v>365</v>
      </c>
      <c r="E412" s="70" t="s">
        <v>9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>
      <c r="A413" s="71">
        <v>12</v>
      </c>
      <c r="B413" s="69" t="s">
        <v>1377</v>
      </c>
      <c r="C413" s="69">
        <v>242518102012</v>
      </c>
      <c r="D413" s="68" t="s">
        <v>366</v>
      </c>
      <c r="E413" s="70" t="s">
        <v>15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>
      <c r="A414" s="71">
        <v>13</v>
      </c>
      <c r="B414" s="69" t="s">
        <v>1378</v>
      </c>
      <c r="C414" s="69">
        <v>242518102009</v>
      </c>
      <c r="D414" s="68" t="s">
        <v>825</v>
      </c>
      <c r="E414" s="70" t="s">
        <v>9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>
      <c r="A415" s="71">
        <v>14</v>
      </c>
      <c r="B415" s="69" t="s">
        <v>1379</v>
      </c>
      <c r="C415" s="69">
        <v>242518102014</v>
      </c>
      <c r="D415" s="68" t="s">
        <v>367</v>
      </c>
      <c r="E415" s="70" t="s">
        <v>15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>
      <c r="A416" s="71">
        <v>15</v>
      </c>
      <c r="B416" s="69" t="s">
        <v>1380</v>
      </c>
      <c r="C416" s="69">
        <v>242518102015</v>
      </c>
      <c r="D416" s="68" t="s">
        <v>368</v>
      </c>
      <c r="E416" s="70" t="s">
        <v>15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32">
      <c r="A417" s="71">
        <v>16</v>
      </c>
      <c r="B417" s="69" t="s">
        <v>1381</v>
      </c>
      <c r="C417" s="69">
        <v>242518102016</v>
      </c>
      <c r="D417" s="68" t="s">
        <v>369</v>
      </c>
      <c r="E417" s="70" t="s">
        <v>15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32" ht="15.75" thickBot="1">
      <c r="A418" s="71">
        <v>17</v>
      </c>
      <c r="B418" s="69" t="s">
        <v>1382</v>
      </c>
      <c r="C418" s="69">
        <v>242518102018</v>
      </c>
      <c r="D418" s="68" t="s">
        <v>370</v>
      </c>
      <c r="E418" s="70" t="s">
        <v>9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32">
      <c r="A419" s="71">
        <v>18</v>
      </c>
      <c r="B419" s="69" t="s">
        <v>1383</v>
      </c>
      <c r="C419" s="69">
        <v>242518102019</v>
      </c>
      <c r="D419" s="68" t="s">
        <v>371</v>
      </c>
      <c r="E419" s="70" t="s">
        <v>9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AA419" s="26" t="s">
        <v>337</v>
      </c>
      <c r="AB419" s="27"/>
      <c r="AC419" s="27"/>
      <c r="AD419" s="28"/>
      <c r="AE419" s="28"/>
      <c r="AF419" s="29"/>
    </row>
    <row r="420" spans="1:32" ht="15.75" thickBot="1">
      <c r="A420" s="71">
        <v>19</v>
      </c>
      <c r="B420" s="69" t="s">
        <v>1384</v>
      </c>
      <c r="C420" s="69">
        <v>242518102110</v>
      </c>
      <c r="D420" s="68" t="s">
        <v>824</v>
      </c>
      <c r="E420" s="70" t="s">
        <v>9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AA420" s="31" t="s">
        <v>138</v>
      </c>
      <c r="AB420" s="32"/>
      <c r="AC420" s="32"/>
      <c r="AD420" s="33"/>
      <c r="AE420" s="33"/>
      <c r="AF420" s="34"/>
    </row>
    <row r="421" spans="1:32">
      <c r="A421" s="71">
        <v>20</v>
      </c>
      <c r="B421" s="69" t="s">
        <v>1385</v>
      </c>
      <c r="C421" s="69">
        <v>242518102020</v>
      </c>
      <c r="D421" s="68" t="s">
        <v>372</v>
      </c>
      <c r="E421" s="70" t="s">
        <v>9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AA421" s="26" t="s">
        <v>337</v>
      </c>
      <c r="AB421" s="27"/>
      <c r="AC421" s="27"/>
      <c r="AD421" s="28"/>
      <c r="AE421" s="28"/>
      <c r="AF421" s="29"/>
    </row>
    <row r="422" spans="1:32" ht="15.75" thickBot="1">
      <c r="A422" s="71">
        <v>21</v>
      </c>
      <c r="B422" s="69" t="s">
        <v>1386</v>
      </c>
      <c r="C422" s="69">
        <v>242518102021</v>
      </c>
      <c r="D422" s="68" t="s">
        <v>373</v>
      </c>
      <c r="E422" s="70" t="s">
        <v>9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AA422" s="31" t="s">
        <v>342</v>
      </c>
      <c r="AB422" s="32"/>
      <c r="AC422" s="32"/>
      <c r="AD422" s="33"/>
      <c r="AE422" s="33"/>
      <c r="AF422" s="34"/>
    </row>
    <row r="423" spans="1:32">
      <c r="A423" s="71">
        <v>22</v>
      </c>
      <c r="B423" s="69" t="s">
        <v>1387</v>
      </c>
      <c r="C423" s="69">
        <v>242518102022</v>
      </c>
      <c r="D423" s="68" t="s">
        <v>374</v>
      </c>
      <c r="E423" s="70" t="s">
        <v>9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AA423" s="26" t="s">
        <v>337</v>
      </c>
      <c r="AB423" s="27"/>
      <c r="AC423" s="27"/>
      <c r="AD423" s="28"/>
      <c r="AE423" s="28"/>
      <c r="AF423" s="29"/>
    </row>
    <row r="424" spans="1:32" ht="15.75" thickBot="1">
      <c r="A424" s="71">
        <v>23</v>
      </c>
      <c r="B424" s="69" t="s">
        <v>1388</v>
      </c>
      <c r="C424" s="69">
        <v>242518102023</v>
      </c>
      <c r="D424" s="68" t="s">
        <v>375</v>
      </c>
      <c r="E424" s="70" t="s">
        <v>9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AA424" s="31" t="s">
        <v>343</v>
      </c>
      <c r="AB424" s="32"/>
      <c r="AC424" s="32"/>
      <c r="AD424" s="33"/>
      <c r="AE424" s="33"/>
      <c r="AF424" s="34"/>
    </row>
    <row r="425" spans="1:32">
      <c r="A425" s="71">
        <v>24</v>
      </c>
      <c r="B425" s="69" t="s">
        <v>1389</v>
      </c>
      <c r="C425" s="69">
        <v>242518102024</v>
      </c>
      <c r="D425" s="68" t="s">
        <v>376</v>
      </c>
      <c r="E425" s="70" t="s">
        <v>9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AA425" s="26" t="s">
        <v>337</v>
      </c>
      <c r="AB425" s="27"/>
      <c r="AC425" s="27"/>
      <c r="AD425" s="28"/>
      <c r="AE425" s="28"/>
      <c r="AF425" s="29"/>
    </row>
    <row r="426" spans="1:32" s="103" customFormat="1" ht="15.75" thickBot="1">
      <c r="A426" s="115">
        <v>25</v>
      </c>
      <c r="B426" s="107" t="s">
        <v>1390</v>
      </c>
      <c r="C426" s="107">
        <v>242518102025</v>
      </c>
      <c r="D426" s="108" t="s">
        <v>377</v>
      </c>
      <c r="E426" s="116" t="s">
        <v>15</v>
      </c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2"/>
      <c r="Z426" s="112"/>
      <c r="AA426" s="104" t="s">
        <v>344</v>
      </c>
      <c r="AB426" s="105"/>
      <c r="AC426" s="105"/>
      <c r="AF426" s="106"/>
    </row>
    <row r="427" spans="1:32">
      <c r="A427" s="115">
        <v>26</v>
      </c>
      <c r="B427" s="107" t="s">
        <v>1391</v>
      </c>
      <c r="C427" s="107">
        <v>242518102026</v>
      </c>
      <c r="D427" s="108" t="s">
        <v>378</v>
      </c>
      <c r="E427" s="116" t="s">
        <v>15</v>
      </c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2"/>
      <c r="Z427" s="112"/>
      <c r="AA427" s="26" t="s">
        <v>337</v>
      </c>
      <c r="AB427" s="27"/>
      <c r="AC427" s="27"/>
      <c r="AD427" s="28"/>
      <c r="AE427" s="28"/>
      <c r="AF427" s="29"/>
    </row>
    <row r="428" spans="1:32" ht="15.75" thickBot="1">
      <c r="A428" s="115">
        <v>27</v>
      </c>
      <c r="B428" s="107" t="s">
        <v>1392</v>
      </c>
      <c r="C428" s="107">
        <v>242518102028</v>
      </c>
      <c r="D428" s="108" t="s">
        <v>379</v>
      </c>
      <c r="E428" s="116" t="s">
        <v>15</v>
      </c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2"/>
      <c r="Z428" s="112"/>
      <c r="AA428" s="31" t="s">
        <v>345</v>
      </c>
      <c r="AB428" s="32"/>
      <c r="AC428" s="32"/>
      <c r="AD428" s="33"/>
      <c r="AE428" s="33"/>
      <c r="AF428" s="34"/>
    </row>
    <row r="429" spans="1:32">
      <c r="A429" s="115">
        <v>28</v>
      </c>
      <c r="B429" s="107" t="s">
        <v>1393</v>
      </c>
      <c r="C429" s="107">
        <v>242518102029</v>
      </c>
      <c r="D429" s="108" t="s">
        <v>380</v>
      </c>
      <c r="E429" s="116" t="s">
        <v>15</v>
      </c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2"/>
      <c r="Z429" s="112"/>
      <c r="AA429" s="26" t="s">
        <v>337</v>
      </c>
      <c r="AB429" s="27"/>
      <c r="AC429" s="27"/>
      <c r="AD429" s="28"/>
      <c r="AE429" s="28"/>
      <c r="AF429" s="29"/>
    </row>
    <row r="430" spans="1:32" ht="15.75" thickBot="1">
      <c r="A430" s="115">
        <v>29</v>
      </c>
      <c r="B430" s="107" t="s">
        <v>1394</v>
      </c>
      <c r="C430" s="107">
        <v>242518102030</v>
      </c>
      <c r="D430" s="108" t="s">
        <v>381</v>
      </c>
      <c r="E430" s="116" t="s">
        <v>9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2"/>
      <c r="Z430" s="112"/>
      <c r="AA430" s="31" t="s">
        <v>346</v>
      </c>
      <c r="AB430" s="32"/>
      <c r="AC430" s="32"/>
      <c r="AD430" s="33"/>
      <c r="AE430" s="33"/>
      <c r="AF430" s="34"/>
    </row>
    <row r="431" spans="1:32">
      <c r="A431" s="115">
        <v>30</v>
      </c>
      <c r="B431" s="107" t="s">
        <v>1395</v>
      </c>
      <c r="C431" s="107">
        <v>242518102032</v>
      </c>
      <c r="D431" s="108" t="s">
        <v>382</v>
      </c>
      <c r="E431" s="116" t="s">
        <v>15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2"/>
      <c r="Z431" s="112"/>
      <c r="AA431" s="26" t="s">
        <v>337</v>
      </c>
      <c r="AB431" s="27"/>
      <c r="AC431" s="27"/>
      <c r="AD431" s="28"/>
      <c r="AE431" s="28"/>
      <c r="AF431" s="29"/>
    </row>
    <row r="432" spans="1:32" ht="15.75" thickBot="1">
      <c r="A432" s="115">
        <v>31</v>
      </c>
      <c r="B432" s="107" t="s">
        <v>1396</v>
      </c>
      <c r="C432" s="107">
        <v>242518102033</v>
      </c>
      <c r="D432" s="108" t="s">
        <v>383</v>
      </c>
      <c r="E432" s="116" t="s">
        <v>9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2"/>
      <c r="Z432" s="112"/>
      <c r="AA432" s="31" t="s">
        <v>347</v>
      </c>
      <c r="AB432" s="32"/>
      <c r="AC432" s="32"/>
      <c r="AD432" s="33"/>
      <c r="AE432" s="33"/>
      <c r="AF432" s="34"/>
    </row>
    <row r="433" spans="1:32">
      <c r="A433" s="115">
        <v>32</v>
      </c>
      <c r="B433" s="107" t="s">
        <v>1397</v>
      </c>
      <c r="C433" s="107">
        <v>242518102034</v>
      </c>
      <c r="D433" s="108" t="s">
        <v>384</v>
      </c>
      <c r="E433" s="116" t="s">
        <v>9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2"/>
      <c r="Z433" s="112"/>
      <c r="AA433" s="26" t="s">
        <v>337</v>
      </c>
      <c r="AB433" s="27"/>
      <c r="AC433" s="27"/>
      <c r="AD433" s="28"/>
      <c r="AE433" s="28"/>
      <c r="AF433" s="29"/>
    </row>
    <row r="434" spans="1:32" ht="15.75" thickBot="1">
      <c r="A434" s="115">
        <v>33</v>
      </c>
      <c r="B434" s="107" t="s">
        <v>1398</v>
      </c>
      <c r="C434" s="107">
        <v>242518102035</v>
      </c>
      <c r="D434" s="108" t="s">
        <v>385</v>
      </c>
      <c r="E434" s="116" t="s">
        <v>15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2"/>
      <c r="Z434" s="112"/>
      <c r="AA434" s="31" t="s">
        <v>348</v>
      </c>
      <c r="AB434" s="32"/>
      <c r="AC434" s="32"/>
      <c r="AD434" s="33"/>
      <c r="AE434" s="33"/>
      <c r="AF434" s="34"/>
    </row>
    <row r="435" spans="1:32">
      <c r="A435" s="115">
        <v>34</v>
      </c>
      <c r="B435" s="107" t="s">
        <v>1399</v>
      </c>
      <c r="C435" s="107">
        <v>242518102036</v>
      </c>
      <c r="D435" s="108" t="s">
        <v>386</v>
      </c>
      <c r="E435" s="116" t="s">
        <v>15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2"/>
      <c r="Z435" s="112"/>
      <c r="AA435" s="26" t="s">
        <v>337</v>
      </c>
      <c r="AB435" s="27"/>
      <c r="AC435" s="27"/>
      <c r="AD435" s="28"/>
      <c r="AE435" s="28"/>
      <c r="AF435" s="29"/>
    </row>
    <row r="436" spans="1:32" ht="15.75" thickBot="1">
      <c r="A436" s="203">
        <v>35</v>
      </c>
      <c r="B436" s="204"/>
      <c r="C436" s="204"/>
      <c r="D436" s="204"/>
      <c r="E436" s="204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2"/>
      <c r="Z436" s="112"/>
      <c r="AA436" s="31" t="s">
        <v>349</v>
      </c>
      <c r="AB436" s="32"/>
      <c r="AC436" s="32"/>
      <c r="AD436" s="33"/>
      <c r="AE436" s="33"/>
      <c r="AF436" s="34"/>
    </row>
    <row r="437" spans="1:32">
      <c r="AA437" s="26" t="s">
        <v>337</v>
      </c>
      <c r="AB437" s="27"/>
      <c r="AC437" s="27"/>
      <c r="AD437" s="28"/>
      <c r="AE437" s="28"/>
      <c r="AF437" s="29"/>
    </row>
    <row r="438" spans="1:32" ht="15.75" thickBot="1">
      <c r="A438" s="227" t="s">
        <v>10</v>
      </c>
      <c r="B438" s="228"/>
      <c r="C438" s="228"/>
      <c r="D438" s="229"/>
      <c r="E438" s="45">
        <f>COUNTIF(E402:E435,"L")</f>
        <v>15</v>
      </c>
      <c r="G438" s="2"/>
      <c r="AA438" s="31" t="s">
        <v>350</v>
      </c>
      <c r="AB438" s="32"/>
      <c r="AC438" s="32"/>
      <c r="AD438" s="33"/>
      <c r="AE438" s="33"/>
      <c r="AF438" s="34"/>
    </row>
    <row r="439" spans="1:32">
      <c r="A439" s="227" t="s">
        <v>11</v>
      </c>
      <c r="B439" s="228"/>
      <c r="C439" s="228"/>
      <c r="D439" s="229"/>
      <c r="E439" s="45">
        <f>COUNTIF(E402:E435,"P")</f>
        <v>19</v>
      </c>
      <c r="G439" s="2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1"/>
      <c r="S439" s="2"/>
      <c r="T439" s="2"/>
      <c r="U439" s="2"/>
      <c r="V439" s="2"/>
      <c r="W439" s="2"/>
      <c r="X439" s="3"/>
      <c r="AA439" s="26" t="s">
        <v>337</v>
      </c>
      <c r="AB439" s="27"/>
      <c r="AC439" s="27"/>
      <c r="AD439" s="28"/>
      <c r="AE439" s="28"/>
      <c r="AF439" s="29"/>
    </row>
    <row r="440" spans="1:32" ht="15.75" thickBot="1">
      <c r="A440" s="227" t="s">
        <v>864</v>
      </c>
      <c r="B440" s="228"/>
      <c r="C440" s="228"/>
      <c r="D440" s="229"/>
      <c r="E440" s="122">
        <f>SUM(E438:E439)</f>
        <v>34</v>
      </c>
      <c r="G440" s="2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1"/>
      <c r="S440" s="2"/>
      <c r="T440" s="2"/>
      <c r="U440" s="2"/>
      <c r="V440" s="2"/>
      <c r="W440" s="2"/>
      <c r="X440" s="3"/>
      <c r="AA440" s="31" t="s">
        <v>351</v>
      </c>
      <c r="AB440" s="32"/>
      <c r="AC440" s="32"/>
      <c r="AD440" s="33"/>
      <c r="AE440" s="33"/>
      <c r="AF440" s="34"/>
    </row>
    <row r="441" spans="1:32">
      <c r="A441" s="1" t="s">
        <v>12</v>
      </c>
      <c r="B441" s="1"/>
      <c r="C441" s="1"/>
      <c r="D441" s="1"/>
      <c r="E441" s="1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1" t="s">
        <v>1605</v>
      </c>
      <c r="Q441" s="2"/>
      <c r="T441" s="2"/>
      <c r="U441" s="2"/>
      <c r="V441" s="2"/>
      <c r="W441" s="2"/>
      <c r="X441" s="3"/>
      <c r="AA441" s="26" t="s">
        <v>337</v>
      </c>
      <c r="AB441" s="27"/>
      <c r="AC441" s="27"/>
      <c r="AD441" s="28"/>
      <c r="AE441" s="28"/>
      <c r="AF441" s="29"/>
    </row>
    <row r="442" spans="1:32" ht="15.75" thickBot="1">
      <c r="A442" s="1" t="s">
        <v>13</v>
      </c>
      <c r="B442" s="1"/>
      <c r="C442" s="1"/>
      <c r="D442" s="1"/>
      <c r="E442" s="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1" t="s">
        <v>14</v>
      </c>
      <c r="Q442" s="3"/>
      <c r="S442" s="2"/>
      <c r="T442" s="2"/>
      <c r="U442" s="2"/>
      <c r="V442" s="2"/>
      <c r="W442" s="2"/>
      <c r="X442" s="3"/>
      <c r="Y442" s="2"/>
      <c r="AA442" s="31" t="s">
        <v>352</v>
      </c>
      <c r="AB442" s="32"/>
      <c r="AC442" s="32"/>
      <c r="AD442" s="33"/>
      <c r="AE442" s="33"/>
      <c r="AF442" s="34"/>
    </row>
    <row r="443" spans="1:32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1"/>
      <c r="Q443" s="3"/>
      <c r="S443" s="2"/>
      <c r="T443" s="2"/>
      <c r="U443" s="2"/>
      <c r="V443" s="2"/>
      <c r="W443" s="2"/>
      <c r="X443" s="3"/>
      <c r="AA443" s="26" t="s">
        <v>337</v>
      </c>
      <c r="AB443" s="27"/>
      <c r="AC443" s="27"/>
      <c r="AD443" s="28"/>
      <c r="AE443" s="28"/>
      <c r="AF443" s="29"/>
    </row>
    <row r="444" spans="1:32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S444" s="2"/>
      <c r="T444" s="2"/>
      <c r="U444" s="2"/>
      <c r="V444" s="2"/>
      <c r="W444" s="2"/>
      <c r="X444" s="2"/>
      <c r="AA444" s="31" t="s">
        <v>353</v>
      </c>
      <c r="AB444" s="32"/>
      <c r="AC444" s="32"/>
      <c r="AD444" s="33"/>
      <c r="AE444" s="33"/>
      <c r="AF444" s="34"/>
    </row>
    <row r="445" spans="1:32" ht="16.5" thickBot="1">
      <c r="A445" s="8" t="s">
        <v>854</v>
      </c>
      <c r="B445" s="8"/>
      <c r="C445" s="8"/>
      <c r="D445" s="8"/>
      <c r="E445" s="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8" t="s">
        <v>16</v>
      </c>
      <c r="Q445" s="8"/>
      <c r="S445" s="2"/>
      <c r="T445" s="9"/>
      <c r="U445" s="9"/>
      <c r="V445" s="9"/>
      <c r="W445" s="9"/>
      <c r="X445" s="9"/>
      <c r="AA445" s="31" t="s">
        <v>354</v>
      </c>
      <c r="AB445" s="32"/>
      <c r="AC445" s="32"/>
      <c r="AD445" s="33"/>
      <c r="AE445" s="33"/>
      <c r="AF445" s="34"/>
    </row>
    <row r="446" spans="1:32" ht="15.75">
      <c r="A446" s="8" t="s">
        <v>855</v>
      </c>
      <c r="B446" s="8"/>
      <c r="C446" s="8"/>
      <c r="D446" s="8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8" t="s">
        <v>17</v>
      </c>
      <c r="Q446" s="2"/>
      <c r="T446" s="9"/>
      <c r="U446" s="9"/>
      <c r="V446" s="9"/>
      <c r="AA446" s="26" t="s">
        <v>337</v>
      </c>
      <c r="AB446" s="27"/>
      <c r="AC446" s="27"/>
      <c r="AD446" s="28"/>
      <c r="AE446" s="28"/>
      <c r="AF446" s="29"/>
    </row>
    <row r="447" spans="1:32" ht="15.75">
      <c r="A447" s="8"/>
      <c r="B447" s="8"/>
      <c r="C447" s="8"/>
      <c r="D447" s="8"/>
      <c r="E447" s="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8"/>
      <c r="Q447" s="2"/>
      <c r="T447" s="9"/>
      <c r="U447" s="9"/>
      <c r="V447" s="9"/>
      <c r="AA447" s="31" t="s">
        <v>355</v>
      </c>
      <c r="AB447" s="32"/>
      <c r="AC447" s="32"/>
      <c r="AD447" s="33"/>
      <c r="AE447" s="33"/>
      <c r="AF447" s="34"/>
    </row>
    <row r="448" spans="1:32" ht="15.75">
      <c r="A448" s="8"/>
      <c r="B448" s="8"/>
      <c r="C448" s="8"/>
      <c r="D448" s="8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8"/>
      <c r="Q448" s="2"/>
      <c r="T448" s="9"/>
      <c r="U448" s="9"/>
      <c r="V448" s="9"/>
      <c r="AA448" s="31"/>
      <c r="AB448" s="32"/>
      <c r="AC448" s="32"/>
      <c r="AD448" s="33"/>
      <c r="AE448" s="33"/>
      <c r="AF448" s="34"/>
    </row>
    <row r="449" spans="1:32" ht="16.5" thickBot="1">
      <c r="A449" s="8"/>
      <c r="B449" s="8"/>
      <c r="C449" s="8"/>
      <c r="D449" s="8"/>
      <c r="E449" s="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8"/>
      <c r="Q449" s="2"/>
      <c r="T449" s="9"/>
      <c r="U449" s="9"/>
      <c r="V449" s="9"/>
      <c r="AA449" s="31"/>
      <c r="AB449" s="32"/>
      <c r="AC449" s="32"/>
      <c r="AD449" s="33"/>
      <c r="AE449" s="33"/>
      <c r="AF449" s="34"/>
    </row>
    <row r="450" spans="1:32">
      <c r="AA450" s="26" t="s">
        <v>337</v>
      </c>
      <c r="AB450" s="27"/>
      <c r="AC450" s="27"/>
      <c r="AD450" s="28"/>
      <c r="AE450" s="28"/>
      <c r="AF450" s="29"/>
    </row>
    <row r="451" spans="1:32" ht="15.75" thickBot="1">
      <c r="AA451" s="31" t="s">
        <v>356</v>
      </c>
      <c r="AB451" s="32"/>
      <c r="AC451" s="32"/>
      <c r="AD451" s="33"/>
      <c r="AE451" s="33"/>
      <c r="AF451" s="34"/>
    </row>
    <row r="452" spans="1:32">
      <c r="AA452" s="26" t="s">
        <v>337</v>
      </c>
      <c r="AB452" s="27"/>
      <c r="AC452" s="27"/>
      <c r="AD452" s="28"/>
      <c r="AE452" s="28"/>
      <c r="AF452" s="29"/>
    </row>
    <row r="453" spans="1:32" ht="15.75" thickBot="1">
      <c r="AA453" s="31" t="s">
        <v>357</v>
      </c>
      <c r="AB453" s="32"/>
      <c r="AC453" s="32"/>
      <c r="AD453" s="33"/>
      <c r="AE453" s="33"/>
      <c r="AF453" s="34"/>
    </row>
    <row r="454" spans="1:32">
      <c r="AA454" s="26" t="s">
        <v>337</v>
      </c>
      <c r="AB454" s="27"/>
      <c r="AC454" s="27"/>
      <c r="AD454" s="28"/>
      <c r="AE454" s="28"/>
      <c r="AF454" s="29"/>
    </row>
    <row r="455" spans="1:32" ht="15.75">
      <c r="A455" s="211" t="s">
        <v>132</v>
      </c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</row>
    <row r="456" spans="1:32" ht="15.75">
      <c r="A456" s="211" t="s">
        <v>0</v>
      </c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</row>
    <row r="457" spans="1:32" ht="15.75">
      <c r="Y457" s="8"/>
    </row>
    <row r="458" spans="1:32" ht="15.75">
      <c r="A458" s="21" t="s">
        <v>133</v>
      </c>
      <c r="B458" s="21"/>
      <c r="C458" s="22" t="s">
        <v>2630</v>
      </c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8"/>
    </row>
    <row r="459" spans="1:32">
      <c r="A459" s="18" t="s">
        <v>134</v>
      </c>
      <c r="B459" s="18"/>
      <c r="C459" s="15" t="s">
        <v>135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23"/>
    </row>
    <row r="460" spans="1:32" ht="15.75">
      <c r="A460" s="21" t="s">
        <v>136</v>
      </c>
      <c r="B460" s="21"/>
      <c r="C460" s="22" t="s">
        <v>2635</v>
      </c>
      <c r="D460" s="14"/>
      <c r="Y460" s="14"/>
    </row>
    <row r="461" spans="1:32">
      <c r="A461" s="24"/>
      <c r="B461" s="24"/>
      <c r="C461" s="24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 spans="1:32"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32">
      <c r="A463" s="206" t="s">
        <v>1</v>
      </c>
      <c r="B463" s="206" t="s">
        <v>18</v>
      </c>
      <c r="C463" s="206" t="s">
        <v>2</v>
      </c>
      <c r="D463" s="206" t="s">
        <v>137</v>
      </c>
      <c r="E463" s="213" t="s">
        <v>3</v>
      </c>
      <c r="F463" s="208" t="s">
        <v>4</v>
      </c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10"/>
      <c r="V463" s="208" t="s">
        <v>5</v>
      </c>
      <c r="W463" s="209"/>
      <c r="X463" s="210"/>
      <c r="Y463" s="23"/>
    </row>
    <row r="464" spans="1:32">
      <c r="A464" s="207"/>
      <c r="B464" s="207"/>
      <c r="C464" s="207"/>
      <c r="D464" s="207"/>
      <c r="E464" s="214"/>
      <c r="F464" s="17">
        <v>1</v>
      </c>
      <c r="G464" s="17">
        <v>2</v>
      </c>
      <c r="H464" s="17">
        <v>3</v>
      </c>
      <c r="I464" s="17">
        <v>4</v>
      </c>
      <c r="J464" s="17">
        <v>5</v>
      </c>
      <c r="K464" s="17">
        <v>6</v>
      </c>
      <c r="L464" s="17">
        <v>7</v>
      </c>
      <c r="M464" s="17">
        <v>8</v>
      </c>
      <c r="N464" s="17">
        <v>9</v>
      </c>
      <c r="O464" s="17">
        <v>10</v>
      </c>
      <c r="P464" s="17">
        <v>11</v>
      </c>
      <c r="Q464" s="17">
        <v>12</v>
      </c>
      <c r="R464" s="17">
        <v>13</v>
      </c>
      <c r="S464" s="17">
        <v>14</v>
      </c>
      <c r="T464" s="17">
        <v>15</v>
      </c>
      <c r="U464" s="17">
        <v>16</v>
      </c>
      <c r="V464" s="17" t="s">
        <v>6</v>
      </c>
      <c r="W464" s="17" t="s">
        <v>7</v>
      </c>
      <c r="X464" s="17" t="s">
        <v>8</v>
      </c>
    </row>
    <row r="465" spans="1:25" ht="15.75">
      <c r="A465" s="71">
        <v>1</v>
      </c>
      <c r="B465" s="69" t="s">
        <v>1331</v>
      </c>
      <c r="C465" s="69">
        <v>242518102037</v>
      </c>
      <c r="D465" s="68" t="s">
        <v>204</v>
      </c>
      <c r="E465" s="64" t="s">
        <v>15</v>
      </c>
      <c r="F465" s="63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9"/>
    </row>
    <row r="466" spans="1:25" ht="15.75">
      <c r="A466" s="71">
        <v>2</v>
      </c>
      <c r="B466" s="69" t="s">
        <v>1332</v>
      </c>
      <c r="C466" s="69">
        <v>242518102038</v>
      </c>
      <c r="D466" s="68" t="s">
        <v>205</v>
      </c>
      <c r="E466" s="64" t="s">
        <v>15</v>
      </c>
      <c r="F466" s="63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9"/>
    </row>
    <row r="467" spans="1:25" ht="15.75">
      <c r="A467" s="71">
        <v>3</v>
      </c>
      <c r="B467" s="69" t="s">
        <v>1333</v>
      </c>
      <c r="C467" s="69">
        <v>242518102039</v>
      </c>
      <c r="D467" s="68" t="s">
        <v>206</v>
      </c>
      <c r="E467" s="64" t="s">
        <v>15</v>
      </c>
      <c r="F467" s="63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9"/>
    </row>
    <row r="468" spans="1:25" ht="15.75">
      <c r="A468" s="71">
        <v>4</v>
      </c>
      <c r="B468" s="69" t="s">
        <v>1334</v>
      </c>
      <c r="C468" s="69">
        <v>242518102040</v>
      </c>
      <c r="D468" s="68" t="s">
        <v>207</v>
      </c>
      <c r="E468" s="64" t="s">
        <v>9</v>
      </c>
      <c r="F468" s="63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9"/>
    </row>
    <row r="469" spans="1:25" ht="15.75">
      <c r="A469" s="71">
        <v>5</v>
      </c>
      <c r="B469" s="69" t="s">
        <v>1335</v>
      </c>
      <c r="C469" s="69">
        <v>242518102041</v>
      </c>
      <c r="D469" s="68" t="s">
        <v>208</v>
      </c>
      <c r="E469" s="64" t="s">
        <v>9</v>
      </c>
      <c r="F469" s="63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9"/>
    </row>
    <row r="470" spans="1:25" ht="15.75">
      <c r="A470" s="71">
        <v>6</v>
      </c>
      <c r="B470" s="69" t="s">
        <v>1336</v>
      </c>
      <c r="C470" s="69">
        <v>242518102042</v>
      </c>
      <c r="D470" s="68" t="s">
        <v>209</v>
      </c>
      <c r="E470" s="64" t="s">
        <v>15</v>
      </c>
      <c r="F470" s="63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9"/>
    </row>
    <row r="471" spans="1:25" ht="15.75">
      <c r="A471" s="71">
        <v>7</v>
      </c>
      <c r="B471" s="69" t="s">
        <v>1337</v>
      </c>
      <c r="C471" s="69">
        <v>242518102043</v>
      </c>
      <c r="D471" s="68" t="s">
        <v>210</v>
      </c>
      <c r="E471" s="64" t="s">
        <v>15</v>
      </c>
      <c r="F471" s="63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9"/>
    </row>
    <row r="472" spans="1:25" ht="15.75">
      <c r="A472" s="71">
        <v>8</v>
      </c>
      <c r="B472" s="69" t="s">
        <v>1338</v>
      </c>
      <c r="C472" s="69">
        <v>242518102044</v>
      </c>
      <c r="D472" s="68" t="s">
        <v>211</v>
      </c>
      <c r="E472" s="64" t="s">
        <v>9</v>
      </c>
      <c r="F472" s="63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9"/>
    </row>
    <row r="473" spans="1:25" ht="15.75">
      <c r="A473" s="71">
        <v>9</v>
      </c>
      <c r="B473" s="69" t="s">
        <v>1339</v>
      </c>
      <c r="C473" s="69">
        <v>242518102045</v>
      </c>
      <c r="D473" s="68" t="s">
        <v>212</v>
      </c>
      <c r="E473" s="64" t="s">
        <v>15</v>
      </c>
      <c r="F473" s="63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9"/>
    </row>
    <row r="474" spans="1:25" ht="15.75">
      <c r="A474" s="71">
        <v>10</v>
      </c>
      <c r="B474" s="69" t="s">
        <v>1340</v>
      </c>
      <c r="C474" s="69">
        <v>242518102046</v>
      </c>
      <c r="D474" s="68" t="s">
        <v>213</v>
      </c>
      <c r="E474" s="64" t="s">
        <v>15</v>
      </c>
      <c r="F474" s="63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9"/>
    </row>
    <row r="475" spans="1:25" ht="15.75">
      <c r="A475" s="71">
        <v>11</v>
      </c>
      <c r="B475" s="69" t="s">
        <v>1341</v>
      </c>
      <c r="C475" s="69">
        <v>242518102047</v>
      </c>
      <c r="D475" s="68" t="s">
        <v>214</v>
      </c>
      <c r="E475" s="64" t="s">
        <v>9</v>
      </c>
      <c r="F475" s="63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9"/>
    </row>
    <row r="476" spans="1:25" ht="15.75">
      <c r="A476" s="71">
        <v>12</v>
      </c>
      <c r="B476" s="69" t="s">
        <v>1342</v>
      </c>
      <c r="C476" s="69">
        <v>242518102048</v>
      </c>
      <c r="D476" s="68" t="s">
        <v>215</v>
      </c>
      <c r="E476" s="64" t="s">
        <v>9</v>
      </c>
      <c r="F476" s="63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9"/>
    </row>
    <row r="477" spans="1:25" ht="15.75">
      <c r="A477" s="71">
        <v>13</v>
      </c>
      <c r="B477" s="69" t="s">
        <v>1343</v>
      </c>
      <c r="C477" s="69">
        <v>242518102049</v>
      </c>
      <c r="D477" s="68" t="s">
        <v>216</v>
      </c>
      <c r="E477" s="64" t="s">
        <v>15</v>
      </c>
      <c r="F477" s="63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9"/>
    </row>
    <row r="478" spans="1:25" ht="15.75">
      <c r="A478" s="71">
        <v>14</v>
      </c>
      <c r="B478" s="69" t="s">
        <v>1344</v>
      </c>
      <c r="C478" s="69">
        <v>242518102050</v>
      </c>
      <c r="D478" s="68" t="s">
        <v>217</v>
      </c>
      <c r="E478" s="64" t="s">
        <v>15</v>
      </c>
      <c r="F478" s="63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9"/>
    </row>
    <row r="479" spans="1:25" ht="15.75">
      <c r="A479" s="71">
        <v>15</v>
      </c>
      <c r="B479" s="69" t="s">
        <v>1345</v>
      </c>
      <c r="C479" s="69">
        <v>242518102051</v>
      </c>
      <c r="D479" s="68" t="s">
        <v>826</v>
      </c>
      <c r="E479" s="64" t="s">
        <v>15</v>
      </c>
      <c r="F479" s="63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9"/>
    </row>
    <row r="480" spans="1:25" ht="15.75">
      <c r="A480" s="71">
        <v>16</v>
      </c>
      <c r="B480" s="69" t="s">
        <v>1346</v>
      </c>
      <c r="C480" s="69">
        <v>242518102052</v>
      </c>
      <c r="D480" s="68" t="s">
        <v>218</v>
      </c>
      <c r="E480" s="64" t="s">
        <v>9</v>
      </c>
      <c r="F480" s="63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9"/>
    </row>
    <row r="481" spans="1:25" ht="15.75">
      <c r="A481" s="71">
        <v>17</v>
      </c>
      <c r="B481" s="69" t="s">
        <v>1347</v>
      </c>
      <c r="C481" s="69">
        <v>242518102054</v>
      </c>
      <c r="D481" s="68" t="s">
        <v>219</v>
      </c>
      <c r="E481" s="64" t="s">
        <v>9</v>
      </c>
      <c r="F481" s="63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9"/>
    </row>
    <row r="482" spans="1:25" ht="15.75">
      <c r="A482" s="71">
        <v>18</v>
      </c>
      <c r="B482" s="69" t="s">
        <v>1348</v>
      </c>
      <c r="C482" s="69">
        <v>242518102055</v>
      </c>
      <c r="D482" s="68" t="s">
        <v>220</v>
      </c>
      <c r="E482" s="64" t="s">
        <v>9</v>
      </c>
      <c r="F482" s="63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9"/>
    </row>
    <row r="483" spans="1:25" ht="15.75">
      <c r="A483" s="71">
        <v>19</v>
      </c>
      <c r="B483" s="69" t="s">
        <v>1349</v>
      </c>
      <c r="C483" s="69">
        <v>242518102056</v>
      </c>
      <c r="D483" s="68" t="s">
        <v>221</v>
      </c>
      <c r="E483" s="64" t="s">
        <v>15</v>
      </c>
      <c r="F483" s="63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9"/>
    </row>
    <row r="484" spans="1:25" ht="15.75">
      <c r="A484" s="71">
        <v>20</v>
      </c>
      <c r="B484" s="69" t="s">
        <v>1350</v>
      </c>
      <c r="C484" s="69">
        <v>242518102057</v>
      </c>
      <c r="D484" s="68" t="s">
        <v>222</v>
      </c>
      <c r="E484" s="64" t="s">
        <v>15</v>
      </c>
      <c r="F484" s="63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9"/>
    </row>
    <row r="485" spans="1:25" ht="15.75">
      <c r="A485" s="71">
        <v>21</v>
      </c>
      <c r="B485" s="69" t="s">
        <v>1351</v>
      </c>
      <c r="C485" s="69">
        <v>242518102109</v>
      </c>
      <c r="D485" s="68" t="s">
        <v>341</v>
      </c>
      <c r="E485" s="64" t="s">
        <v>15</v>
      </c>
      <c r="F485" s="63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9"/>
    </row>
    <row r="486" spans="1:25" ht="15.75">
      <c r="A486" s="71">
        <v>22</v>
      </c>
      <c r="B486" s="69" t="s">
        <v>1352</v>
      </c>
      <c r="C486" s="69">
        <v>242518102058</v>
      </c>
      <c r="D486" s="68" t="s">
        <v>223</v>
      </c>
      <c r="E486" s="64" t="s">
        <v>15</v>
      </c>
      <c r="F486" s="63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9"/>
    </row>
    <row r="487" spans="1:25" ht="15.75">
      <c r="A487" s="71">
        <v>23</v>
      </c>
      <c r="B487" s="69" t="s">
        <v>1353</v>
      </c>
      <c r="C487" s="69">
        <v>242518102059</v>
      </c>
      <c r="D487" s="68" t="s">
        <v>224</v>
      </c>
      <c r="E487" s="64" t="s">
        <v>9</v>
      </c>
      <c r="F487" s="63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9"/>
    </row>
    <row r="488" spans="1:25" ht="15.75">
      <c r="A488" s="71">
        <v>24</v>
      </c>
      <c r="B488" s="69" t="s">
        <v>1354</v>
      </c>
      <c r="C488" s="69">
        <v>242518102060</v>
      </c>
      <c r="D488" s="68" t="s">
        <v>225</v>
      </c>
      <c r="E488" s="64" t="s">
        <v>15</v>
      </c>
      <c r="F488" s="63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9"/>
    </row>
    <row r="489" spans="1:25" ht="15.75">
      <c r="A489" s="115">
        <v>25</v>
      </c>
      <c r="B489" s="107" t="s">
        <v>1355</v>
      </c>
      <c r="C489" s="107">
        <v>242518102061</v>
      </c>
      <c r="D489" s="108" t="s">
        <v>226</v>
      </c>
      <c r="E489" s="64" t="s">
        <v>9</v>
      </c>
      <c r="F489" s="63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9"/>
    </row>
    <row r="490" spans="1:25" ht="15.75">
      <c r="A490" s="115">
        <v>26</v>
      </c>
      <c r="B490" s="107" t="s">
        <v>1356</v>
      </c>
      <c r="C490" s="107">
        <v>242518102062</v>
      </c>
      <c r="D490" s="108" t="s">
        <v>227</v>
      </c>
      <c r="E490" s="64" t="s">
        <v>15</v>
      </c>
      <c r="F490" s="63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9"/>
    </row>
    <row r="491" spans="1:25" ht="15.75">
      <c r="A491" s="115">
        <v>27</v>
      </c>
      <c r="B491" s="107" t="s">
        <v>1357</v>
      </c>
      <c r="C491" s="107">
        <v>242518102063</v>
      </c>
      <c r="D491" s="108" t="s">
        <v>228</v>
      </c>
      <c r="E491" s="64" t="s">
        <v>9</v>
      </c>
      <c r="F491" s="63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9"/>
    </row>
    <row r="492" spans="1:25" ht="15.75">
      <c r="A492" s="115">
        <v>28</v>
      </c>
      <c r="B492" s="107" t="s">
        <v>1358</v>
      </c>
      <c r="C492" s="107">
        <v>242518102064</v>
      </c>
      <c r="D492" s="108" t="s">
        <v>229</v>
      </c>
      <c r="E492" s="64" t="s">
        <v>15</v>
      </c>
      <c r="F492" s="63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9"/>
    </row>
    <row r="493" spans="1:25" ht="15.75">
      <c r="A493" s="115">
        <v>29</v>
      </c>
      <c r="B493" s="107" t="s">
        <v>1359</v>
      </c>
      <c r="C493" s="107">
        <v>242518102065</v>
      </c>
      <c r="D493" s="108" t="s">
        <v>230</v>
      </c>
      <c r="E493" s="64" t="s">
        <v>9</v>
      </c>
      <c r="F493" s="63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9"/>
    </row>
    <row r="494" spans="1:25" ht="15.75">
      <c r="A494" s="115">
        <v>30</v>
      </c>
      <c r="B494" s="107" t="s">
        <v>1360</v>
      </c>
      <c r="C494" s="107">
        <v>242518102066</v>
      </c>
      <c r="D494" s="108" t="s">
        <v>231</v>
      </c>
      <c r="E494" s="64" t="s">
        <v>15</v>
      </c>
      <c r="F494" s="6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9"/>
    </row>
    <row r="495" spans="1:25">
      <c r="A495" s="115">
        <v>31</v>
      </c>
      <c r="B495" s="107" t="s">
        <v>1361</v>
      </c>
      <c r="C495" s="107">
        <v>242518102067</v>
      </c>
      <c r="D495" s="108" t="s">
        <v>827</v>
      </c>
      <c r="E495" s="64" t="s">
        <v>15</v>
      </c>
      <c r="F495" s="6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5">
      <c r="A496" s="115">
        <v>32</v>
      </c>
      <c r="B496" s="107" t="s">
        <v>1362</v>
      </c>
      <c r="C496" s="107">
        <v>242518102069</v>
      </c>
      <c r="D496" s="108" t="s">
        <v>232</v>
      </c>
      <c r="E496" s="64" t="s">
        <v>9</v>
      </c>
      <c r="F496" s="6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5">
      <c r="A497" s="115">
        <v>33</v>
      </c>
      <c r="B497" s="107" t="s">
        <v>1363</v>
      </c>
      <c r="C497" s="107">
        <v>242518102070</v>
      </c>
      <c r="D497" s="108" t="s">
        <v>233</v>
      </c>
      <c r="E497" s="64" t="s">
        <v>15</v>
      </c>
      <c r="F497" s="6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5">
      <c r="A498" s="115">
        <v>34</v>
      </c>
      <c r="B498" s="107" t="s">
        <v>1364</v>
      </c>
      <c r="C498" s="107">
        <v>242518102071</v>
      </c>
      <c r="D498" s="108" t="s">
        <v>234</v>
      </c>
      <c r="E498" s="64" t="s">
        <v>15</v>
      </c>
      <c r="F498" s="6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5">
      <c r="A499" s="115">
        <v>35</v>
      </c>
      <c r="B499" s="107" t="s">
        <v>1365</v>
      </c>
      <c r="C499" s="107">
        <v>242518102072</v>
      </c>
      <c r="D499" s="108" t="s">
        <v>235</v>
      </c>
      <c r="E499" s="64" t="s">
        <v>15</v>
      </c>
      <c r="F499" s="6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5">
      <c r="A500" s="227" t="s">
        <v>11</v>
      </c>
      <c r="B500" s="228"/>
      <c r="C500" s="228"/>
      <c r="D500" s="229"/>
      <c r="E500" s="89">
        <f>COUNTIF(E465:E499,"P")</f>
        <v>22</v>
      </c>
      <c r="G500" s="7"/>
      <c r="H500" s="7"/>
    </row>
    <row r="501" spans="1:25">
      <c r="A501" s="227" t="s">
        <v>864</v>
      </c>
      <c r="B501" s="228"/>
      <c r="C501" s="228"/>
      <c r="D501" s="229"/>
      <c r="E501" s="124">
        <f>COUNTIF(E465:E499,"L")</f>
        <v>13</v>
      </c>
      <c r="G501" s="2"/>
    </row>
    <row r="502" spans="1:25">
      <c r="A502" s="227" t="s">
        <v>10</v>
      </c>
      <c r="B502" s="228"/>
      <c r="C502" s="228"/>
      <c r="D502" s="229"/>
      <c r="E502" s="123">
        <f>SUM(E500:E501)</f>
        <v>35</v>
      </c>
      <c r="G502" s="2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1"/>
      <c r="S502" s="2"/>
      <c r="T502" s="2"/>
      <c r="U502" s="2"/>
      <c r="V502" s="2"/>
      <c r="W502" s="2"/>
      <c r="X502" s="3"/>
    </row>
    <row r="503" spans="1:25"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1"/>
      <c r="S503" s="2"/>
      <c r="T503" s="2"/>
      <c r="U503" s="2"/>
      <c r="V503" s="2"/>
      <c r="W503" s="2"/>
      <c r="X503" s="3"/>
      <c r="Y503" s="2"/>
    </row>
    <row r="504" spans="1:25">
      <c r="A504" s="1" t="s">
        <v>12</v>
      </c>
      <c r="B504" s="1"/>
      <c r="C504" s="1"/>
      <c r="D504" s="1"/>
      <c r="E504" s="1"/>
      <c r="F504" s="2"/>
      <c r="G504" s="2"/>
      <c r="H504" s="2"/>
      <c r="I504" s="3"/>
      <c r="J504" s="3"/>
      <c r="K504" s="3"/>
      <c r="L504" s="3"/>
      <c r="M504" s="3"/>
      <c r="N504" s="3"/>
      <c r="O504" s="3"/>
      <c r="P504" s="1" t="s">
        <v>1605</v>
      </c>
      <c r="Q504" s="2"/>
      <c r="T504" s="2"/>
      <c r="U504" s="2"/>
      <c r="V504" s="2"/>
      <c r="W504" s="2"/>
      <c r="X504" s="3"/>
      <c r="Y504" s="2"/>
    </row>
    <row r="505" spans="1:25">
      <c r="A505" s="1" t="s">
        <v>13</v>
      </c>
      <c r="B505" s="1"/>
      <c r="C505" s="1"/>
      <c r="D505" s="1"/>
      <c r="E505" s="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" t="s">
        <v>14</v>
      </c>
      <c r="Q505" s="3"/>
      <c r="S505" s="2"/>
      <c r="T505" s="2"/>
      <c r="U505" s="2"/>
      <c r="V505" s="2"/>
      <c r="W505" s="2"/>
      <c r="X505" s="3"/>
      <c r="Y505" s="2"/>
    </row>
    <row r="506" spans="1:25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"/>
      <c r="Q506" s="3"/>
      <c r="S506" s="2"/>
      <c r="T506" s="2"/>
      <c r="U506" s="2"/>
      <c r="V506" s="2"/>
      <c r="W506" s="2"/>
      <c r="X506" s="3"/>
      <c r="Y506" s="2"/>
    </row>
    <row r="507" spans="1:25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S507" s="2"/>
      <c r="T507" s="2"/>
      <c r="U507" s="2"/>
      <c r="V507" s="2"/>
      <c r="W507" s="2"/>
      <c r="X507" s="2"/>
      <c r="Y507" s="2"/>
    </row>
    <row r="508" spans="1:25" ht="15.75">
      <c r="A508" s="8" t="s">
        <v>854</v>
      </c>
      <c r="B508" s="8"/>
      <c r="C508" s="8"/>
      <c r="D508" s="8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8" t="s">
        <v>16</v>
      </c>
      <c r="Q508" s="8"/>
      <c r="S508" s="2"/>
      <c r="T508" s="9"/>
      <c r="U508" s="9"/>
      <c r="V508" s="9"/>
      <c r="W508" s="9"/>
      <c r="X508" s="9"/>
      <c r="Y508" s="2"/>
    </row>
    <row r="509" spans="1:25" ht="15.75">
      <c r="A509" s="8" t="s">
        <v>855</v>
      </c>
      <c r="B509" s="8"/>
      <c r="C509" s="8"/>
      <c r="D509" s="8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8" t="s">
        <v>17</v>
      </c>
      <c r="Q509" s="2"/>
      <c r="T509" s="9"/>
      <c r="U509" s="9"/>
      <c r="V509" s="9"/>
      <c r="Y509" s="9"/>
    </row>
    <row r="510" spans="1:25" ht="15.75">
      <c r="A510" s="8"/>
      <c r="B510" s="8"/>
      <c r="C510" s="8"/>
      <c r="D510" s="8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8"/>
      <c r="Q510" s="2"/>
      <c r="T510" s="9"/>
      <c r="U510" s="9"/>
      <c r="V510" s="9"/>
      <c r="Y510" s="9"/>
    </row>
    <row r="511" spans="1:25" ht="15.75">
      <c r="A511" s="8"/>
      <c r="B511" s="8"/>
      <c r="C511" s="8"/>
      <c r="D511" s="8"/>
      <c r="E511" s="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8"/>
      <c r="Q511" s="2"/>
      <c r="T511" s="9"/>
      <c r="U511" s="9"/>
      <c r="V511" s="9"/>
      <c r="Y511" s="9"/>
    </row>
    <row r="512" spans="1:25" ht="15.75">
      <c r="A512" s="8"/>
      <c r="B512" s="8"/>
      <c r="C512" s="8"/>
      <c r="D512" s="8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8"/>
      <c r="Q512" s="2"/>
      <c r="T512" s="9"/>
      <c r="U512" s="9"/>
      <c r="V512" s="9"/>
    </row>
    <row r="520" spans="1:25" ht="15.75">
      <c r="A520" s="211" t="s">
        <v>132</v>
      </c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</row>
    <row r="521" spans="1:25" ht="15.75">
      <c r="A521" s="211" t="s">
        <v>0</v>
      </c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</row>
    <row r="522" spans="1:25" ht="15.75">
      <c r="A522" s="21" t="s">
        <v>133</v>
      </c>
      <c r="B522" s="21"/>
      <c r="C522" s="22" t="s">
        <v>2629</v>
      </c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 spans="1:25">
      <c r="A523" s="18" t="s">
        <v>134</v>
      </c>
      <c r="B523" s="18"/>
      <c r="C523" s="15" t="s">
        <v>135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5" ht="15.75">
      <c r="A524" s="21" t="s">
        <v>136</v>
      </c>
      <c r="B524" s="21"/>
      <c r="C524" s="22" t="s">
        <v>857</v>
      </c>
      <c r="D524" s="14"/>
    </row>
    <row r="525" spans="1:25">
      <c r="A525" s="24"/>
      <c r="B525" s="24"/>
      <c r="C525" s="24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 spans="1:25"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 spans="1:25">
      <c r="A527" s="206" t="s">
        <v>1</v>
      </c>
      <c r="B527" s="206" t="s">
        <v>18</v>
      </c>
      <c r="C527" s="206" t="s">
        <v>2</v>
      </c>
      <c r="D527" s="206" t="s">
        <v>137</v>
      </c>
      <c r="E527" s="213" t="s">
        <v>3</v>
      </c>
      <c r="F527" s="208" t="s">
        <v>4</v>
      </c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10"/>
      <c r="V527" s="208" t="s">
        <v>5</v>
      </c>
      <c r="W527" s="209"/>
      <c r="X527" s="210"/>
      <c r="Y527" s="23"/>
    </row>
    <row r="528" spans="1:25">
      <c r="A528" s="207"/>
      <c r="B528" s="207"/>
      <c r="C528" s="207"/>
      <c r="D528" s="207"/>
      <c r="E528" s="214"/>
      <c r="F528" s="25">
        <v>1</v>
      </c>
      <c r="G528" s="25">
        <v>2</v>
      </c>
      <c r="H528" s="25">
        <v>3</v>
      </c>
      <c r="I528" s="25">
        <v>4</v>
      </c>
      <c r="J528" s="25">
        <v>5</v>
      </c>
      <c r="K528" s="25">
        <v>6</v>
      </c>
      <c r="L528" s="25">
        <v>7</v>
      </c>
      <c r="M528" s="25">
        <v>8</v>
      </c>
      <c r="N528" s="25">
        <v>9</v>
      </c>
      <c r="O528" s="25">
        <v>10</v>
      </c>
      <c r="P528" s="25">
        <v>11</v>
      </c>
      <c r="Q528" s="25">
        <v>12</v>
      </c>
      <c r="R528" s="25">
        <v>13</v>
      </c>
      <c r="S528" s="25">
        <v>14</v>
      </c>
      <c r="T528" s="25">
        <v>15</v>
      </c>
      <c r="U528" s="25">
        <v>16</v>
      </c>
      <c r="V528" s="25" t="s">
        <v>6</v>
      </c>
      <c r="W528" s="25" t="s">
        <v>7</v>
      </c>
      <c r="X528" s="25" t="s">
        <v>8</v>
      </c>
    </row>
    <row r="529" spans="1:24">
      <c r="A529" s="71">
        <v>1</v>
      </c>
      <c r="B529" s="69" t="s">
        <v>1295</v>
      </c>
      <c r="C529" s="69">
        <v>242518102075</v>
      </c>
      <c r="D529" s="68" t="s">
        <v>238</v>
      </c>
      <c r="E529" s="64" t="s">
        <v>15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>
      <c r="A530" s="71">
        <v>2</v>
      </c>
      <c r="B530" s="69" t="s">
        <v>1296</v>
      </c>
      <c r="C530" s="69">
        <v>242518102073</v>
      </c>
      <c r="D530" s="68" t="s">
        <v>236</v>
      </c>
      <c r="E530" s="64" t="s">
        <v>15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>
      <c r="A531" s="71">
        <v>3</v>
      </c>
      <c r="B531" s="69" t="s">
        <v>1297</v>
      </c>
      <c r="C531" s="69">
        <v>242518102074</v>
      </c>
      <c r="D531" s="68" t="s">
        <v>237</v>
      </c>
      <c r="E531" s="64" t="s">
        <v>9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>
      <c r="A532" s="71">
        <v>4</v>
      </c>
      <c r="B532" s="69" t="s">
        <v>1298</v>
      </c>
      <c r="C532" s="69">
        <v>242518102076</v>
      </c>
      <c r="D532" s="68" t="s">
        <v>239</v>
      </c>
      <c r="E532" s="64" t="s">
        <v>9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>
      <c r="A533" s="71">
        <v>5</v>
      </c>
      <c r="B533" s="69" t="s">
        <v>1299</v>
      </c>
      <c r="C533" s="69">
        <v>242518102077</v>
      </c>
      <c r="D533" s="68" t="s">
        <v>240</v>
      </c>
      <c r="E533" s="64" t="s">
        <v>9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>
      <c r="A534" s="71">
        <v>6</v>
      </c>
      <c r="B534" s="69" t="s">
        <v>1300</v>
      </c>
      <c r="C534" s="69">
        <v>242518102078</v>
      </c>
      <c r="D534" s="68" t="s">
        <v>241</v>
      </c>
      <c r="E534" s="64" t="s">
        <v>15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>
      <c r="A535" s="71">
        <v>7</v>
      </c>
      <c r="B535" s="69" t="s">
        <v>1301</v>
      </c>
      <c r="C535" s="69">
        <v>242518102079</v>
      </c>
      <c r="D535" s="68" t="s">
        <v>242</v>
      </c>
      <c r="E535" s="64" t="s">
        <v>9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>
      <c r="A536" s="71">
        <v>8</v>
      </c>
      <c r="B536" s="69" t="s">
        <v>1302</v>
      </c>
      <c r="C536" s="69">
        <v>242518102080</v>
      </c>
      <c r="D536" s="68" t="s">
        <v>243</v>
      </c>
      <c r="E536" s="64" t="s">
        <v>15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>
      <c r="A537" s="71">
        <v>9</v>
      </c>
      <c r="B537" s="69" t="s">
        <v>1303</v>
      </c>
      <c r="C537" s="69">
        <v>242518102081</v>
      </c>
      <c r="D537" s="68" t="s">
        <v>244</v>
      </c>
      <c r="E537" s="64" t="s">
        <v>15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>
      <c r="A538" s="71">
        <v>10</v>
      </c>
      <c r="B538" s="69" t="s">
        <v>1304</v>
      </c>
      <c r="C538" s="69">
        <v>242518102082</v>
      </c>
      <c r="D538" s="68" t="s">
        <v>828</v>
      </c>
      <c r="E538" s="64" t="s">
        <v>9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>
      <c r="A539" s="71">
        <v>11</v>
      </c>
      <c r="B539" s="69" t="s">
        <v>1305</v>
      </c>
      <c r="C539" s="69">
        <v>242518102083</v>
      </c>
      <c r="D539" s="68" t="s">
        <v>245</v>
      </c>
      <c r="E539" s="64" t="s">
        <v>9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>
      <c r="A540" s="71">
        <v>12</v>
      </c>
      <c r="B540" s="69" t="s">
        <v>1306</v>
      </c>
      <c r="C540" s="69">
        <v>242518102084</v>
      </c>
      <c r="D540" s="68" t="s">
        <v>246</v>
      </c>
      <c r="E540" s="64" t="s">
        <v>15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>
      <c r="A541" s="71">
        <v>13</v>
      </c>
      <c r="B541" s="69" t="s">
        <v>1307</v>
      </c>
      <c r="C541" s="69">
        <v>242518102085</v>
      </c>
      <c r="D541" s="68" t="s">
        <v>247</v>
      </c>
      <c r="E541" s="64" t="s">
        <v>9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>
      <c r="A542" s="71">
        <v>14</v>
      </c>
      <c r="B542" s="69" t="s">
        <v>1308</v>
      </c>
      <c r="C542" s="69">
        <v>242518102086</v>
      </c>
      <c r="D542" s="68" t="s">
        <v>248</v>
      </c>
      <c r="E542" s="64" t="s">
        <v>15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>
      <c r="A543" s="71">
        <v>15</v>
      </c>
      <c r="B543" s="69" t="s">
        <v>1309</v>
      </c>
      <c r="C543" s="69">
        <v>242518102087</v>
      </c>
      <c r="D543" s="68" t="s">
        <v>249</v>
      </c>
      <c r="E543" s="64" t="s">
        <v>9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>
      <c r="A544" s="71">
        <v>16</v>
      </c>
      <c r="B544" s="69" t="s">
        <v>1310</v>
      </c>
      <c r="C544" s="69">
        <v>242518102088</v>
      </c>
      <c r="D544" s="68" t="s">
        <v>250</v>
      </c>
      <c r="E544" s="64" t="s">
        <v>15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>
      <c r="A545" s="71">
        <v>17</v>
      </c>
      <c r="B545" s="69" t="s">
        <v>1311</v>
      </c>
      <c r="C545" s="69">
        <v>242518102090</v>
      </c>
      <c r="D545" s="68" t="s">
        <v>251</v>
      </c>
      <c r="E545" s="64" t="s">
        <v>9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>
      <c r="A546" s="71">
        <v>18</v>
      </c>
      <c r="B546" s="69" t="s">
        <v>1312</v>
      </c>
      <c r="C546" s="69">
        <v>242518102091</v>
      </c>
      <c r="D546" s="68" t="s">
        <v>252</v>
      </c>
      <c r="E546" s="64" t="s">
        <v>9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>
      <c r="A547" s="71">
        <v>19</v>
      </c>
      <c r="B547" s="69" t="s">
        <v>1313</v>
      </c>
      <c r="C547" s="69">
        <v>242518102092</v>
      </c>
      <c r="D547" s="68" t="s">
        <v>253</v>
      </c>
      <c r="E547" s="64" t="s">
        <v>9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>
      <c r="A548" s="71">
        <v>20</v>
      </c>
      <c r="B548" s="69" t="s">
        <v>1314</v>
      </c>
      <c r="C548" s="69">
        <v>242518102089</v>
      </c>
      <c r="D548" s="68" t="s">
        <v>829</v>
      </c>
      <c r="E548" s="64" t="s">
        <v>9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>
      <c r="A549" s="71">
        <v>21</v>
      </c>
      <c r="B549" s="69" t="s">
        <v>1315</v>
      </c>
      <c r="C549" s="69">
        <v>242518102093</v>
      </c>
      <c r="D549" s="68" t="s">
        <v>830</v>
      </c>
      <c r="E549" s="64" t="s">
        <v>9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>
      <c r="A550" s="71">
        <v>22</v>
      </c>
      <c r="B550" s="69" t="s">
        <v>1316</v>
      </c>
      <c r="C550" s="69">
        <v>242518102094</v>
      </c>
      <c r="D550" s="68" t="s">
        <v>254</v>
      </c>
      <c r="E550" s="64" t="s">
        <v>15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>
      <c r="A551" s="71">
        <v>23</v>
      </c>
      <c r="B551" s="69" t="s">
        <v>1317</v>
      </c>
      <c r="C551" s="69">
        <v>242518102095</v>
      </c>
      <c r="D551" s="68" t="s">
        <v>340</v>
      </c>
      <c r="E551" s="64" t="s">
        <v>9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>
      <c r="A552" s="71">
        <v>24</v>
      </c>
      <c r="B552" s="69" t="s">
        <v>1318</v>
      </c>
      <c r="C552" s="69">
        <v>242518102096</v>
      </c>
      <c r="D552" s="68" t="s">
        <v>255</v>
      </c>
      <c r="E552" s="64" t="s">
        <v>15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s="112" customFormat="1">
      <c r="A553" s="115">
        <v>25</v>
      </c>
      <c r="B553" s="107" t="s">
        <v>1319</v>
      </c>
      <c r="C553" s="107">
        <v>242518102097</v>
      </c>
      <c r="D553" s="108" t="s">
        <v>256</v>
      </c>
      <c r="E553" s="109" t="s">
        <v>9</v>
      </c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</row>
    <row r="554" spans="1:24" s="112" customFormat="1">
      <c r="A554" s="115">
        <v>26</v>
      </c>
      <c r="B554" s="107" t="s">
        <v>1320</v>
      </c>
      <c r="C554" s="107">
        <v>242518102098</v>
      </c>
      <c r="D554" s="108" t="s">
        <v>257</v>
      </c>
      <c r="E554" s="109" t="s">
        <v>15</v>
      </c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</row>
    <row r="555" spans="1:24" s="112" customFormat="1">
      <c r="A555" s="115">
        <v>27</v>
      </c>
      <c r="B555" s="107" t="s">
        <v>1321</v>
      </c>
      <c r="C555" s="107">
        <v>242518102099</v>
      </c>
      <c r="D555" s="108" t="s">
        <v>258</v>
      </c>
      <c r="E555" s="109" t="s">
        <v>15</v>
      </c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</row>
    <row r="556" spans="1:24" s="112" customFormat="1">
      <c r="A556" s="115">
        <v>28</v>
      </c>
      <c r="B556" s="107" t="s">
        <v>1322</v>
      </c>
      <c r="C556" s="107">
        <v>242518102100</v>
      </c>
      <c r="D556" s="108" t="s">
        <v>259</v>
      </c>
      <c r="E556" s="109" t="s">
        <v>9</v>
      </c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</row>
    <row r="557" spans="1:24" s="112" customFormat="1">
      <c r="A557" s="115">
        <v>29</v>
      </c>
      <c r="B557" s="107" t="s">
        <v>1323</v>
      </c>
      <c r="C557" s="107">
        <v>242518102101</v>
      </c>
      <c r="D557" s="108" t="s">
        <v>260</v>
      </c>
      <c r="E557" s="109" t="s">
        <v>15</v>
      </c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</row>
    <row r="558" spans="1:24" s="112" customFormat="1">
      <c r="A558" s="115">
        <v>30</v>
      </c>
      <c r="B558" s="107" t="s">
        <v>1324</v>
      </c>
      <c r="C558" s="107">
        <v>242518102102</v>
      </c>
      <c r="D558" s="108" t="s">
        <v>261</v>
      </c>
      <c r="E558" s="109" t="s">
        <v>15</v>
      </c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</row>
    <row r="559" spans="1:24" s="112" customFormat="1">
      <c r="A559" s="115">
        <v>31</v>
      </c>
      <c r="B559" s="107" t="s">
        <v>1325</v>
      </c>
      <c r="C559" s="107">
        <v>242518102103</v>
      </c>
      <c r="D559" s="108" t="s">
        <v>262</v>
      </c>
      <c r="E559" s="109" t="s">
        <v>9</v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spans="1:24" s="112" customFormat="1">
      <c r="A560" s="115">
        <v>32</v>
      </c>
      <c r="B560" s="107" t="s">
        <v>1326</v>
      </c>
      <c r="C560" s="107">
        <v>242518102104</v>
      </c>
      <c r="D560" s="108" t="s">
        <v>263</v>
      </c>
      <c r="E560" s="109" t="s">
        <v>15</v>
      </c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spans="1:25" s="112" customFormat="1">
      <c r="A561" s="115">
        <v>33</v>
      </c>
      <c r="B561" s="107" t="s">
        <v>1327</v>
      </c>
      <c r="C561" s="107">
        <v>242518102105</v>
      </c>
      <c r="D561" s="108" t="s">
        <v>264</v>
      </c>
      <c r="E561" s="109" t="s">
        <v>9</v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spans="1:25" s="112" customFormat="1">
      <c r="A562" s="115">
        <v>34</v>
      </c>
      <c r="B562" s="107" t="s">
        <v>1328</v>
      </c>
      <c r="C562" s="107">
        <v>242518102106</v>
      </c>
      <c r="D562" s="108" t="s">
        <v>265</v>
      </c>
      <c r="E562" s="109" t="s">
        <v>15</v>
      </c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spans="1:25" s="112" customFormat="1">
      <c r="A563" s="115">
        <v>35</v>
      </c>
      <c r="B563" s="107" t="s">
        <v>1329</v>
      </c>
      <c r="C563" s="107">
        <v>242518102107</v>
      </c>
      <c r="D563" s="108" t="s">
        <v>266</v>
      </c>
      <c r="E563" s="109" t="s">
        <v>15</v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 spans="1:25" s="112" customFormat="1">
      <c r="A564" s="115">
        <v>36</v>
      </c>
      <c r="B564" s="107" t="s">
        <v>1330</v>
      </c>
      <c r="C564" s="107">
        <v>242518102108</v>
      </c>
      <c r="D564" s="108" t="s">
        <v>267</v>
      </c>
      <c r="E564" s="109" t="s">
        <v>15</v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 spans="1:25">
      <c r="A565" s="30"/>
      <c r="B565" s="4"/>
      <c r="C565" s="19"/>
      <c r="D565" s="4"/>
      <c r="E565" s="1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5">
      <c r="G566" s="7"/>
      <c r="H566" s="7"/>
    </row>
    <row r="567" spans="1:25">
      <c r="A567" s="227" t="s">
        <v>10</v>
      </c>
      <c r="B567" s="228"/>
      <c r="C567" s="228"/>
      <c r="D567" s="229"/>
      <c r="E567" s="89">
        <f>COUNTIF(E529:E564,"L")</f>
        <v>18</v>
      </c>
      <c r="G567" s="2"/>
    </row>
    <row r="568" spans="1:25">
      <c r="A568" s="227" t="s">
        <v>11</v>
      </c>
      <c r="B568" s="228"/>
      <c r="C568" s="228"/>
      <c r="D568" s="229"/>
      <c r="E568" s="89">
        <f>COUNTIF(E529:E564,"P")</f>
        <v>18</v>
      </c>
      <c r="G568" s="2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1"/>
      <c r="S568" s="2"/>
      <c r="T568" s="2"/>
      <c r="U568" s="2"/>
      <c r="V568" s="2"/>
      <c r="W568" s="2"/>
      <c r="X568" s="3"/>
    </row>
    <row r="569" spans="1:25">
      <c r="A569" s="227" t="s">
        <v>864</v>
      </c>
      <c r="B569" s="228"/>
      <c r="C569" s="228"/>
      <c r="D569" s="229"/>
      <c r="E569" s="88">
        <v>36</v>
      </c>
      <c r="G569" s="2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1"/>
      <c r="S569" s="2"/>
      <c r="T569" s="2"/>
      <c r="U569" s="2"/>
      <c r="V569" s="2"/>
      <c r="W569" s="2"/>
      <c r="X569" s="3"/>
    </row>
    <row r="570" spans="1:25">
      <c r="U570" s="2"/>
      <c r="V570" s="2"/>
      <c r="W570" s="2"/>
      <c r="X570" s="3"/>
    </row>
    <row r="571" spans="1:25">
      <c r="A571" s="1" t="s">
        <v>12</v>
      </c>
      <c r="B571" s="1"/>
      <c r="C571" s="1"/>
      <c r="D571" s="1"/>
      <c r="E571" s="1"/>
      <c r="F571" s="2"/>
      <c r="G571" s="2"/>
      <c r="H571" s="2"/>
      <c r="I571" s="3"/>
      <c r="J571" s="3"/>
      <c r="K571" s="3"/>
      <c r="L571" s="3"/>
      <c r="M571" s="3"/>
      <c r="N571" s="3"/>
      <c r="O571" s="3"/>
      <c r="P571" s="1" t="s">
        <v>1605</v>
      </c>
      <c r="Q571" s="2"/>
      <c r="T571" s="2"/>
      <c r="U571" s="2"/>
      <c r="V571" s="2"/>
      <c r="W571" s="2"/>
      <c r="X571" s="3"/>
      <c r="Y571" s="2"/>
    </row>
    <row r="572" spans="1:25">
      <c r="A572" s="1" t="s">
        <v>13</v>
      </c>
      <c r="B572" s="1"/>
      <c r="C572" s="1"/>
      <c r="D572" s="1"/>
      <c r="E572" s="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" t="s">
        <v>14</v>
      </c>
      <c r="Q572" s="3"/>
      <c r="S572" s="2"/>
      <c r="T572" s="2"/>
      <c r="U572" s="2"/>
      <c r="V572" s="2"/>
      <c r="W572" s="2"/>
      <c r="X572" s="3"/>
    </row>
    <row r="573" spans="1:25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"/>
      <c r="Q573" s="3"/>
      <c r="S573" s="2"/>
      <c r="T573" s="2"/>
      <c r="U573" s="2"/>
      <c r="V573" s="2"/>
      <c r="W573" s="2"/>
      <c r="X573" s="2"/>
    </row>
    <row r="574" spans="1:25" ht="15.75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S574" s="2"/>
      <c r="T574" s="2"/>
      <c r="U574" s="9"/>
      <c r="V574" s="9"/>
      <c r="W574" s="9"/>
      <c r="X574" s="9"/>
    </row>
    <row r="575" spans="1:25" ht="15.75">
      <c r="A575" s="8" t="s">
        <v>854</v>
      </c>
      <c r="B575" s="8"/>
      <c r="C575" s="8"/>
      <c r="D575" s="8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8" t="s">
        <v>16</v>
      </c>
      <c r="Q575" s="8"/>
      <c r="S575" s="2"/>
      <c r="T575" s="9"/>
      <c r="U575" s="9"/>
      <c r="V575" s="9"/>
    </row>
    <row r="576" spans="1:25" ht="15.75">
      <c r="A576" s="8" t="s">
        <v>855</v>
      </c>
      <c r="B576" s="8"/>
      <c r="C576" s="8"/>
      <c r="D576" s="8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8" t="s">
        <v>17</v>
      </c>
      <c r="Q576" s="2"/>
      <c r="T576" s="9"/>
      <c r="U576" s="9"/>
      <c r="V576" s="9"/>
    </row>
    <row r="577" spans="1:25" ht="15.75">
      <c r="A577" s="8"/>
      <c r="B577" s="8"/>
      <c r="C577" s="8"/>
      <c r="D577" s="8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8"/>
      <c r="Q577" s="2"/>
      <c r="T577" s="9"/>
      <c r="U577" s="9"/>
      <c r="V577" s="9"/>
    </row>
    <row r="578" spans="1:25" ht="15.75">
      <c r="A578" s="8"/>
      <c r="B578" s="8"/>
      <c r="C578" s="8"/>
      <c r="D578" s="8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8"/>
      <c r="Q578" s="2"/>
      <c r="T578" s="9"/>
      <c r="U578" s="9"/>
      <c r="V578" s="9"/>
    </row>
    <row r="585" spans="1:25" ht="15.75">
      <c r="A585" s="211" t="s">
        <v>132</v>
      </c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</row>
    <row r="586" spans="1:25" ht="15.75">
      <c r="A586" s="211" t="s">
        <v>0</v>
      </c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</row>
    <row r="587" spans="1:25" ht="15.75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8"/>
    </row>
    <row r="588" spans="1:25" ht="15.75">
      <c r="A588" s="21" t="s">
        <v>133</v>
      </c>
      <c r="B588" s="21"/>
      <c r="C588" s="22" t="s">
        <v>2627</v>
      </c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8"/>
    </row>
    <row r="589" spans="1:25">
      <c r="A589" s="226" t="s">
        <v>134</v>
      </c>
      <c r="B589" s="226"/>
      <c r="C589" s="15" t="s">
        <v>135</v>
      </c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23"/>
    </row>
    <row r="590" spans="1:25" ht="15.75">
      <c r="A590" s="212" t="s">
        <v>136</v>
      </c>
      <c r="B590" s="212"/>
      <c r="C590" s="22" t="s">
        <v>856</v>
      </c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14"/>
    </row>
    <row r="591" spans="1:25">
      <c r="A591" s="24"/>
      <c r="B591" s="24"/>
      <c r="C591" s="24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>
      <c r="A592" s="206" t="s">
        <v>1</v>
      </c>
      <c r="B592" s="206" t="s">
        <v>18</v>
      </c>
      <c r="C592" s="206" t="s">
        <v>2</v>
      </c>
      <c r="D592" s="206" t="s">
        <v>137</v>
      </c>
      <c r="E592" s="213" t="s">
        <v>3</v>
      </c>
      <c r="F592" s="208" t="s">
        <v>4</v>
      </c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10"/>
      <c r="V592" s="208" t="s">
        <v>5</v>
      </c>
      <c r="W592" s="209"/>
      <c r="X592" s="210"/>
      <c r="Y592" s="23"/>
    </row>
    <row r="593" spans="1:25">
      <c r="A593" s="207"/>
      <c r="B593" s="207"/>
      <c r="C593" s="207"/>
      <c r="D593" s="207"/>
      <c r="E593" s="214"/>
      <c r="F593" s="25">
        <v>1</v>
      </c>
      <c r="G593" s="25">
        <v>2</v>
      </c>
      <c r="H593" s="25">
        <v>3</v>
      </c>
      <c r="I593" s="25">
        <v>4</v>
      </c>
      <c r="J593" s="25">
        <v>5</v>
      </c>
      <c r="K593" s="25">
        <v>6</v>
      </c>
      <c r="L593" s="25">
        <v>7</v>
      </c>
      <c r="M593" s="25">
        <v>8</v>
      </c>
      <c r="N593" s="25">
        <v>9</v>
      </c>
      <c r="O593" s="25">
        <v>10</v>
      </c>
      <c r="P593" s="25">
        <v>11</v>
      </c>
      <c r="Q593" s="25">
        <v>12</v>
      </c>
      <c r="R593" s="25">
        <v>13</v>
      </c>
      <c r="S593" s="25">
        <v>14</v>
      </c>
      <c r="T593" s="25">
        <v>15</v>
      </c>
      <c r="U593" s="25">
        <v>16</v>
      </c>
      <c r="V593" s="25" t="s">
        <v>6</v>
      </c>
      <c r="W593" s="25" t="s">
        <v>7</v>
      </c>
      <c r="X593" s="25" t="s">
        <v>8</v>
      </c>
    </row>
    <row r="594" spans="1:25" ht="15.75">
      <c r="A594" s="71">
        <v>1</v>
      </c>
      <c r="B594" s="69" t="s">
        <v>1261</v>
      </c>
      <c r="C594" s="69">
        <v>242518821001</v>
      </c>
      <c r="D594" s="68" t="s">
        <v>268</v>
      </c>
      <c r="E594" s="64" t="s">
        <v>15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9"/>
    </row>
    <row r="595" spans="1:25" ht="15.75">
      <c r="A595" s="71">
        <v>2</v>
      </c>
      <c r="B595" s="69" t="s">
        <v>1262</v>
      </c>
      <c r="C595" s="69">
        <v>242518821002</v>
      </c>
      <c r="D595" s="68" t="s">
        <v>269</v>
      </c>
      <c r="E595" s="64" t="s">
        <v>15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9"/>
    </row>
    <row r="596" spans="1:25" ht="15.75">
      <c r="A596" s="71">
        <v>3</v>
      </c>
      <c r="B596" s="69" t="s">
        <v>1263</v>
      </c>
      <c r="C596" s="69">
        <v>242518821003</v>
      </c>
      <c r="D596" s="68" t="s">
        <v>270</v>
      </c>
      <c r="E596" s="64" t="s">
        <v>15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9"/>
    </row>
    <row r="597" spans="1:25" ht="15.75">
      <c r="A597" s="71">
        <v>4</v>
      </c>
      <c r="B597" s="69" t="s">
        <v>1264</v>
      </c>
      <c r="C597" s="69">
        <v>242518821004</v>
      </c>
      <c r="D597" s="68" t="s">
        <v>271</v>
      </c>
      <c r="E597" s="64" t="s">
        <v>9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9"/>
    </row>
    <row r="598" spans="1:25" ht="15.75">
      <c r="A598" s="71">
        <v>5</v>
      </c>
      <c r="B598" s="69" t="s">
        <v>1265</v>
      </c>
      <c r="C598" s="69">
        <v>242518821006</v>
      </c>
      <c r="D598" s="68" t="s">
        <v>272</v>
      </c>
      <c r="E598" s="64" t="s">
        <v>15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9"/>
    </row>
    <row r="599" spans="1:25" ht="15.75">
      <c r="A599" s="71">
        <v>6</v>
      </c>
      <c r="B599" s="69" t="s">
        <v>1266</v>
      </c>
      <c r="C599" s="69">
        <v>242518821007</v>
      </c>
      <c r="D599" s="68" t="s">
        <v>273</v>
      </c>
      <c r="E599" s="64" t="s">
        <v>15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9"/>
    </row>
    <row r="600" spans="1:25" ht="15.75">
      <c r="A600" s="71">
        <v>7</v>
      </c>
      <c r="B600" s="69" t="s">
        <v>1267</v>
      </c>
      <c r="C600" s="69">
        <v>242518821008</v>
      </c>
      <c r="D600" s="68" t="s">
        <v>274</v>
      </c>
      <c r="E600" s="64" t="s">
        <v>15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9"/>
    </row>
    <row r="601" spans="1:25" ht="15.75">
      <c r="A601" s="71">
        <v>8</v>
      </c>
      <c r="B601" s="69" t="s">
        <v>1268</v>
      </c>
      <c r="C601" s="69">
        <v>242518821009</v>
      </c>
      <c r="D601" s="68" t="s">
        <v>275</v>
      </c>
      <c r="E601" s="64" t="s">
        <v>15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9"/>
    </row>
    <row r="602" spans="1:25" ht="15.75">
      <c r="A602" s="71">
        <v>9</v>
      </c>
      <c r="B602" s="69" t="s">
        <v>1269</v>
      </c>
      <c r="C602" s="69">
        <v>242518821010</v>
      </c>
      <c r="D602" s="68" t="s">
        <v>276</v>
      </c>
      <c r="E602" s="64" t="s">
        <v>15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9"/>
    </row>
    <row r="603" spans="1:25" ht="15.75">
      <c r="A603" s="71">
        <v>10</v>
      </c>
      <c r="B603" s="69" t="s">
        <v>1270</v>
      </c>
      <c r="C603" s="69">
        <v>242518821011</v>
      </c>
      <c r="D603" s="68" t="s">
        <v>277</v>
      </c>
      <c r="E603" s="64" t="s">
        <v>15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9"/>
    </row>
    <row r="604" spans="1:25" ht="15.75">
      <c r="A604" s="71">
        <v>11</v>
      </c>
      <c r="B604" s="69" t="s">
        <v>1271</v>
      </c>
      <c r="C604" s="69">
        <v>242518821012</v>
      </c>
      <c r="D604" s="68" t="s">
        <v>278</v>
      </c>
      <c r="E604" s="64" t="s">
        <v>15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9"/>
    </row>
    <row r="605" spans="1:25" ht="15.75">
      <c r="A605" s="71">
        <v>12</v>
      </c>
      <c r="B605" s="69" t="s">
        <v>1272</v>
      </c>
      <c r="C605" s="69">
        <v>242518821013</v>
      </c>
      <c r="D605" s="68" t="s">
        <v>279</v>
      </c>
      <c r="E605" s="64" t="s">
        <v>15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9"/>
    </row>
    <row r="606" spans="1:25" ht="15.75">
      <c r="A606" s="71">
        <v>13</v>
      </c>
      <c r="B606" s="69" t="s">
        <v>1273</v>
      </c>
      <c r="C606" s="69">
        <v>242518821014</v>
      </c>
      <c r="D606" s="68" t="s">
        <v>280</v>
      </c>
      <c r="E606" s="64" t="s">
        <v>15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9"/>
    </row>
    <row r="607" spans="1:25" ht="15.75">
      <c r="A607" s="71">
        <v>14</v>
      </c>
      <c r="B607" s="69" t="s">
        <v>1274</v>
      </c>
      <c r="C607" s="69">
        <v>242518821015</v>
      </c>
      <c r="D607" s="68" t="s">
        <v>281</v>
      </c>
      <c r="E607" s="64" t="s">
        <v>15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9"/>
    </row>
    <row r="608" spans="1:25" ht="15.75">
      <c r="A608" s="71">
        <v>15</v>
      </c>
      <c r="B608" s="69" t="s">
        <v>1275</v>
      </c>
      <c r="C608" s="69">
        <v>242518821017</v>
      </c>
      <c r="D608" s="68" t="s">
        <v>282</v>
      </c>
      <c r="E608" s="64" t="s">
        <v>15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9"/>
    </row>
    <row r="609" spans="1:32" ht="15.75">
      <c r="A609" s="71">
        <v>16</v>
      </c>
      <c r="B609" s="69" t="s">
        <v>1276</v>
      </c>
      <c r="C609" s="69">
        <v>242518821016</v>
      </c>
      <c r="D609" s="68" t="s">
        <v>822</v>
      </c>
      <c r="E609" s="64" t="s">
        <v>15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9"/>
    </row>
    <row r="610" spans="1:32" ht="16.5" thickBot="1">
      <c r="A610" s="71">
        <v>17</v>
      </c>
      <c r="B610" s="69" t="s">
        <v>1277</v>
      </c>
      <c r="C610" s="69">
        <v>242518821018</v>
      </c>
      <c r="D610" s="68" t="s">
        <v>283</v>
      </c>
      <c r="E610" s="64" t="s">
        <v>15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9"/>
    </row>
    <row r="611" spans="1:32" ht="15.75">
      <c r="A611" s="71">
        <v>18</v>
      </c>
      <c r="B611" s="69" t="s">
        <v>1278</v>
      </c>
      <c r="C611" s="69">
        <v>242518821019</v>
      </c>
      <c r="D611" s="68" t="s">
        <v>284</v>
      </c>
      <c r="E611" s="64" t="s">
        <v>15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9"/>
      <c r="AA611" s="26" t="s">
        <v>337</v>
      </c>
      <c r="AB611" s="27"/>
      <c r="AC611" s="27"/>
      <c r="AD611" s="28"/>
      <c r="AE611" s="28"/>
      <c r="AF611" s="29"/>
    </row>
    <row r="612" spans="1:32" ht="15.75">
      <c r="A612" s="71">
        <v>19</v>
      </c>
      <c r="B612" s="69" t="s">
        <v>1279</v>
      </c>
      <c r="C612" s="69">
        <v>242518821021</v>
      </c>
      <c r="D612" s="68" t="s">
        <v>285</v>
      </c>
      <c r="E612" s="64" t="s">
        <v>15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9"/>
      <c r="AA612" s="31" t="s">
        <v>138</v>
      </c>
      <c r="AB612" s="32"/>
      <c r="AC612" s="32"/>
      <c r="AD612" s="33"/>
      <c r="AE612" s="33"/>
      <c r="AF612" s="34"/>
    </row>
    <row r="613" spans="1:32" ht="15.75">
      <c r="A613" s="71">
        <v>20</v>
      </c>
      <c r="B613" s="69" t="s">
        <v>1280</v>
      </c>
      <c r="C613" s="69">
        <v>242518821022</v>
      </c>
      <c r="D613" s="68" t="s">
        <v>286</v>
      </c>
      <c r="E613" s="64" t="s">
        <v>15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9"/>
      <c r="AA613" s="31" t="s">
        <v>339</v>
      </c>
      <c r="AB613" s="32"/>
      <c r="AC613" s="32"/>
      <c r="AD613" s="33"/>
      <c r="AE613" s="33"/>
      <c r="AF613" s="34"/>
    </row>
    <row r="614" spans="1:32" ht="16.5" thickBot="1">
      <c r="A614" s="71">
        <v>21</v>
      </c>
      <c r="B614" s="69" t="s">
        <v>1281</v>
      </c>
      <c r="C614" s="69">
        <v>242518821023</v>
      </c>
      <c r="D614" s="68" t="s">
        <v>287</v>
      </c>
      <c r="E614" s="64" t="s">
        <v>15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9"/>
      <c r="AA614" s="35" t="s">
        <v>140</v>
      </c>
      <c r="AB614" s="36"/>
      <c r="AC614" s="36"/>
      <c r="AD614" s="37"/>
      <c r="AE614" s="37"/>
      <c r="AF614" s="38"/>
    </row>
    <row r="615" spans="1:32" ht="15.75">
      <c r="A615" s="71">
        <v>22</v>
      </c>
      <c r="B615" s="69" t="s">
        <v>1282</v>
      </c>
      <c r="C615" s="69">
        <v>242518821024</v>
      </c>
      <c r="D615" s="68" t="s">
        <v>821</v>
      </c>
      <c r="E615" s="64" t="s">
        <v>15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9"/>
    </row>
    <row r="616" spans="1:32" ht="15.75">
      <c r="A616" s="71">
        <v>23</v>
      </c>
      <c r="B616" s="69" t="s">
        <v>1283</v>
      </c>
      <c r="C616" s="69">
        <v>242518821025</v>
      </c>
      <c r="D616" s="68" t="s">
        <v>288</v>
      </c>
      <c r="E616" s="64" t="s">
        <v>15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9"/>
    </row>
    <row r="617" spans="1:32" s="112" customFormat="1" ht="15.75">
      <c r="A617" s="71">
        <v>24</v>
      </c>
      <c r="B617" s="107" t="s">
        <v>1284</v>
      </c>
      <c r="C617" s="107">
        <v>242518821026</v>
      </c>
      <c r="D617" s="108" t="s">
        <v>289</v>
      </c>
      <c r="E617" s="109" t="s">
        <v>15</v>
      </c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1"/>
    </row>
    <row r="618" spans="1:32" ht="15.75">
      <c r="A618" s="71">
        <v>25</v>
      </c>
      <c r="B618" s="107" t="s">
        <v>1285</v>
      </c>
      <c r="C618" s="107">
        <v>242518821074</v>
      </c>
      <c r="D618" s="108" t="s">
        <v>298</v>
      </c>
      <c r="E618" s="64" t="s">
        <v>15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9"/>
    </row>
    <row r="619" spans="1:32" ht="15.75">
      <c r="A619" s="71">
        <v>26</v>
      </c>
      <c r="B619" s="107" t="s">
        <v>1286</v>
      </c>
      <c r="C619" s="107">
        <v>242518821027</v>
      </c>
      <c r="D619" s="108" t="s">
        <v>290</v>
      </c>
      <c r="E619" s="64" t="s">
        <v>15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9"/>
    </row>
    <row r="620" spans="1:32" ht="15.75">
      <c r="A620" s="71">
        <v>27</v>
      </c>
      <c r="B620" s="107" t="s">
        <v>1287</v>
      </c>
      <c r="C620" s="107">
        <v>242518821029</v>
      </c>
      <c r="D620" s="108" t="s">
        <v>291</v>
      </c>
      <c r="E620" s="64" t="s">
        <v>15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9"/>
    </row>
    <row r="621" spans="1:32" ht="15.75">
      <c r="A621" s="71">
        <v>28</v>
      </c>
      <c r="B621" s="107" t="s">
        <v>1288</v>
      </c>
      <c r="C621" s="107">
        <v>242518821030</v>
      </c>
      <c r="D621" s="108" t="s">
        <v>292</v>
      </c>
      <c r="E621" s="64" t="s">
        <v>15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9"/>
    </row>
    <row r="622" spans="1:32">
      <c r="A622" s="71">
        <v>29</v>
      </c>
      <c r="B622" s="107" t="s">
        <v>1289</v>
      </c>
      <c r="C622" s="107">
        <v>242518821031</v>
      </c>
      <c r="D622" s="108" t="s">
        <v>293</v>
      </c>
      <c r="E622" s="64" t="s">
        <v>15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32">
      <c r="A623" s="71">
        <v>30</v>
      </c>
      <c r="B623" s="107" t="s">
        <v>1290</v>
      </c>
      <c r="C623" s="107">
        <v>242518821032</v>
      </c>
      <c r="D623" s="108" t="s">
        <v>294</v>
      </c>
      <c r="E623" s="64" t="s">
        <v>15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32">
      <c r="A624" s="71">
        <v>31</v>
      </c>
      <c r="B624" s="107" t="s">
        <v>1291</v>
      </c>
      <c r="C624" s="107">
        <v>242518821033</v>
      </c>
      <c r="D624" s="108" t="s">
        <v>295</v>
      </c>
      <c r="E624" s="64" t="s">
        <v>15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5">
      <c r="A625" s="71">
        <v>32</v>
      </c>
      <c r="B625" s="107" t="s">
        <v>1292</v>
      </c>
      <c r="C625" s="107">
        <v>242518821034</v>
      </c>
      <c r="D625" s="108" t="s">
        <v>296</v>
      </c>
      <c r="E625" s="64" t="s">
        <v>15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5">
      <c r="A626" s="71">
        <v>33</v>
      </c>
      <c r="B626" s="107" t="s">
        <v>1293</v>
      </c>
      <c r="C626" s="107">
        <v>242518821035</v>
      </c>
      <c r="D626" s="108" t="s">
        <v>297</v>
      </c>
      <c r="E626" s="64" t="s">
        <v>15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5">
      <c r="A627" s="71">
        <v>34</v>
      </c>
      <c r="B627" s="107" t="s">
        <v>1294</v>
      </c>
      <c r="C627" s="107">
        <v>242518821036</v>
      </c>
      <c r="D627" s="108" t="s">
        <v>831</v>
      </c>
      <c r="E627" s="64" t="s">
        <v>15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5">
      <c r="G628" s="7"/>
      <c r="H628" s="7"/>
    </row>
    <row r="629" spans="1:25">
      <c r="A629" s="227" t="s">
        <v>10</v>
      </c>
      <c r="B629" s="228"/>
      <c r="C629" s="228"/>
      <c r="D629" s="229"/>
      <c r="E629" s="125">
        <f>COUNTIF(E594:E626,"L")</f>
        <v>1</v>
      </c>
      <c r="G629" s="2"/>
    </row>
    <row r="630" spans="1:25">
      <c r="A630" s="227" t="s">
        <v>11</v>
      </c>
      <c r="B630" s="228"/>
      <c r="C630" s="228"/>
      <c r="D630" s="229"/>
      <c r="E630" s="125">
        <f>COUNTIF(E594:E627,"P")</f>
        <v>33</v>
      </c>
      <c r="G630" s="2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1"/>
      <c r="S630" s="2"/>
      <c r="T630" s="2"/>
      <c r="U630" s="2"/>
      <c r="V630" s="2"/>
      <c r="W630" s="2"/>
      <c r="X630" s="3"/>
    </row>
    <row r="631" spans="1:25">
      <c r="A631" s="227" t="s">
        <v>864</v>
      </c>
      <c r="B631" s="228"/>
      <c r="C631" s="228"/>
      <c r="D631" s="229"/>
      <c r="E631" s="75">
        <f>SUM(E629:E630)</f>
        <v>34</v>
      </c>
      <c r="T631" s="2"/>
      <c r="U631" s="2"/>
      <c r="V631" s="2"/>
      <c r="W631" s="2"/>
      <c r="X631" s="3"/>
      <c r="Y631" s="2"/>
    </row>
    <row r="632" spans="1:25">
      <c r="S632" s="2"/>
      <c r="T632" s="2"/>
      <c r="U632" s="2"/>
      <c r="V632" s="2"/>
      <c r="W632" s="2"/>
      <c r="X632" s="3"/>
      <c r="Y632" s="2"/>
    </row>
    <row r="633" spans="1:25">
      <c r="A633" s="1" t="s">
        <v>12</v>
      </c>
      <c r="B633" s="1"/>
      <c r="C633" s="1"/>
      <c r="D633" s="1"/>
      <c r="E633" s="1"/>
      <c r="F633" s="2"/>
      <c r="G633" s="2"/>
      <c r="H633" s="2"/>
      <c r="I633" s="3"/>
      <c r="J633" s="3"/>
      <c r="K633" s="3"/>
      <c r="L633" s="3"/>
      <c r="M633" s="3"/>
      <c r="N633" s="3"/>
      <c r="O633" s="3"/>
      <c r="P633" s="1" t="s">
        <v>1605</v>
      </c>
      <c r="Q633" s="2"/>
      <c r="S633" s="2"/>
      <c r="T633" s="2"/>
      <c r="U633" s="2"/>
      <c r="V633" s="2"/>
      <c r="W633" s="2"/>
      <c r="X633" s="3"/>
      <c r="Y633" s="2"/>
    </row>
    <row r="634" spans="1:25">
      <c r="A634" s="1" t="s">
        <v>13</v>
      </c>
      <c r="B634" s="1"/>
      <c r="C634" s="1"/>
      <c r="D634" s="1"/>
      <c r="E634" s="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" t="s">
        <v>14</v>
      </c>
      <c r="Q634" s="3"/>
      <c r="S634" s="2"/>
      <c r="T634" s="2"/>
      <c r="U634" s="2"/>
      <c r="V634" s="2"/>
      <c r="W634" s="2"/>
      <c r="X634" s="3"/>
      <c r="Y634" s="2"/>
    </row>
    <row r="635" spans="1:25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"/>
      <c r="Q635" s="3"/>
      <c r="S635" s="2"/>
      <c r="T635" s="2"/>
      <c r="U635" s="2"/>
      <c r="V635" s="2"/>
      <c r="W635" s="2"/>
      <c r="X635" s="2"/>
      <c r="Y635" s="2"/>
    </row>
    <row r="636" spans="1:25" ht="15.75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"/>
      <c r="Q636" s="3"/>
      <c r="S636" s="2"/>
      <c r="T636" s="9"/>
      <c r="U636" s="9"/>
      <c r="V636" s="9"/>
      <c r="W636" s="9"/>
      <c r="X636" s="9"/>
      <c r="Y636" s="2"/>
    </row>
    <row r="637" spans="1:25" ht="15.75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T637" s="9"/>
      <c r="U637" s="9"/>
      <c r="V637" s="9"/>
      <c r="Y637" s="9"/>
    </row>
    <row r="638" spans="1:25" ht="15.75">
      <c r="A638" s="8" t="s">
        <v>854</v>
      </c>
      <c r="B638" s="8"/>
      <c r="C638" s="8"/>
      <c r="D638" s="8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8" t="s">
        <v>16</v>
      </c>
      <c r="Q638" s="8"/>
      <c r="T638" s="9"/>
      <c r="U638" s="9"/>
      <c r="V638" s="9"/>
    </row>
    <row r="639" spans="1:25" ht="15.75">
      <c r="A639" s="8" t="s">
        <v>855</v>
      </c>
      <c r="B639" s="8"/>
      <c r="C639" s="8"/>
      <c r="D639" s="8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8" t="s">
        <v>17</v>
      </c>
      <c r="Q639" s="2"/>
      <c r="T639" s="9"/>
      <c r="U639" s="9"/>
      <c r="V639" s="9"/>
    </row>
    <row r="640" spans="1:25" ht="15.75">
      <c r="A640" s="8"/>
      <c r="B640" s="8"/>
      <c r="C640" s="8"/>
      <c r="D640" s="8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8"/>
      <c r="Q640" s="2"/>
      <c r="T640" s="9"/>
      <c r="U640" s="9"/>
      <c r="V640" s="9"/>
    </row>
    <row r="641" spans="1:22" ht="15.75">
      <c r="A641" s="8"/>
      <c r="B641" s="8"/>
      <c r="C641" s="8"/>
      <c r="D641" s="8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8"/>
      <c r="Q641" s="2"/>
      <c r="T641" s="9"/>
      <c r="U641" s="9"/>
      <c r="V641" s="9"/>
    </row>
    <row r="642" spans="1:22" ht="15.75">
      <c r="A642" s="8"/>
      <c r="B642" s="8"/>
      <c r="C642" s="8"/>
      <c r="D642" s="8"/>
      <c r="E642" s="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8"/>
      <c r="Q642" s="2"/>
      <c r="T642" s="9"/>
      <c r="U642" s="9"/>
      <c r="V642" s="9"/>
    </row>
    <row r="643" spans="1:22" ht="15.75">
      <c r="A643" s="8"/>
      <c r="B643" s="8"/>
      <c r="C643" s="8"/>
      <c r="D643" s="8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8"/>
      <c r="Q643" s="2"/>
      <c r="T643" s="9"/>
      <c r="U643" s="9"/>
      <c r="V643" s="9"/>
    </row>
    <row r="644" spans="1:22" ht="15.75">
      <c r="A644" s="8"/>
      <c r="B644" s="8"/>
      <c r="C644" s="8"/>
      <c r="D644" s="8"/>
      <c r="E644" s="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8"/>
      <c r="Q644" s="2"/>
      <c r="T644" s="9"/>
      <c r="U644" s="9"/>
      <c r="V644" s="9"/>
    </row>
    <row r="645" spans="1:22" ht="15.75">
      <c r="A645" s="8"/>
      <c r="B645" s="8"/>
      <c r="C645" s="8"/>
      <c r="D645" s="8"/>
      <c r="E645" s="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8"/>
      <c r="Q645" s="2"/>
      <c r="T645" s="9"/>
      <c r="U645" s="9"/>
      <c r="V645" s="9"/>
    </row>
    <row r="646" spans="1:22" ht="15.75">
      <c r="A646" s="8"/>
      <c r="B646" s="8"/>
      <c r="C646" s="8"/>
      <c r="D646" s="8"/>
      <c r="E646" s="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8"/>
      <c r="Q646" s="2"/>
      <c r="T646" s="9"/>
      <c r="U646" s="9"/>
      <c r="V646" s="9"/>
    </row>
    <row r="647" spans="1:22" ht="15.75">
      <c r="A647" s="8"/>
      <c r="B647" s="8"/>
      <c r="C647" s="8"/>
      <c r="D647" s="8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8"/>
      <c r="Q647" s="2"/>
      <c r="T647" s="9"/>
      <c r="U647" s="9"/>
      <c r="V647" s="9"/>
    </row>
    <row r="648" spans="1:22" ht="15.75">
      <c r="A648" s="8"/>
      <c r="B648" s="8"/>
      <c r="C648" s="8"/>
      <c r="D648" s="8"/>
      <c r="E648" s="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8"/>
      <c r="Q648" s="2"/>
      <c r="T648" s="9"/>
      <c r="U648" s="9"/>
      <c r="V648" s="9"/>
    </row>
    <row r="649" spans="1:22" ht="15.75">
      <c r="A649" s="8" t="s">
        <v>1598</v>
      </c>
      <c r="B649" s="8"/>
      <c r="C649" s="8"/>
      <c r="D649" s="8"/>
      <c r="E649" s="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8"/>
      <c r="Q649" s="2"/>
      <c r="T649" s="9"/>
      <c r="U649" s="9"/>
      <c r="V649" s="9"/>
    </row>
    <row r="664" spans="1:25" ht="15.75">
      <c r="A664" s="211" t="s">
        <v>132</v>
      </c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</row>
    <row r="665" spans="1:25" ht="15.75">
      <c r="A665" s="211" t="s">
        <v>0</v>
      </c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</row>
    <row r="666" spans="1:25" ht="15.75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8"/>
    </row>
    <row r="667" spans="1:25" ht="15.75">
      <c r="A667" s="21" t="s">
        <v>133</v>
      </c>
      <c r="B667" s="21"/>
      <c r="C667" s="22" t="s">
        <v>2628</v>
      </c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8"/>
    </row>
    <row r="668" spans="1:25">
      <c r="A668" s="226" t="s">
        <v>134</v>
      </c>
      <c r="B668" s="226"/>
      <c r="C668" s="15" t="s">
        <v>135</v>
      </c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23"/>
    </row>
    <row r="669" spans="1:25"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 ht="15.75">
      <c r="A670" s="212" t="s">
        <v>136</v>
      </c>
      <c r="B670" s="212"/>
      <c r="C670" s="22" t="s">
        <v>2620</v>
      </c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14"/>
    </row>
    <row r="671" spans="1:25">
      <c r="A671" s="24"/>
      <c r="B671" s="24"/>
      <c r="C671" s="24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>
      <c r="A672" s="206" t="s">
        <v>1</v>
      </c>
      <c r="B672" s="206" t="s">
        <v>18</v>
      </c>
      <c r="C672" s="206" t="s">
        <v>2</v>
      </c>
      <c r="D672" s="206" t="s">
        <v>137</v>
      </c>
      <c r="E672" s="213" t="s">
        <v>3</v>
      </c>
      <c r="F672" s="208" t="s">
        <v>4</v>
      </c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10"/>
      <c r="V672" s="208" t="s">
        <v>5</v>
      </c>
      <c r="W672" s="209"/>
      <c r="X672" s="210"/>
      <c r="Y672" s="23"/>
    </row>
    <row r="673" spans="1:25">
      <c r="A673" s="207"/>
      <c r="B673" s="207"/>
      <c r="C673" s="207"/>
      <c r="D673" s="207"/>
      <c r="E673" s="214"/>
      <c r="F673" s="25">
        <v>1</v>
      </c>
      <c r="G673" s="25">
        <v>2</v>
      </c>
      <c r="H673" s="25">
        <v>3</v>
      </c>
      <c r="I673" s="25">
        <v>4</v>
      </c>
      <c r="J673" s="25">
        <v>5</v>
      </c>
      <c r="K673" s="25">
        <v>6</v>
      </c>
      <c r="L673" s="25">
        <v>7</v>
      </c>
      <c r="M673" s="25">
        <v>8</v>
      </c>
      <c r="N673" s="25">
        <v>9</v>
      </c>
      <c r="O673" s="25">
        <v>10</v>
      </c>
      <c r="P673" s="25">
        <v>11</v>
      </c>
      <c r="Q673" s="25">
        <v>12</v>
      </c>
      <c r="R673" s="25">
        <v>13</v>
      </c>
      <c r="S673" s="25">
        <v>14</v>
      </c>
      <c r="T673" s="25">
        <v>15</v>
      </c>
      <c r="U673" s="25">
        <v>16</v>
      </c>
      <c r="V673" s="25" t="s">
        <v>6</v>
      </c>
      <c r="W673" s="25" t="s">
        <v>7</v>
      </c>
      <c r="X673" s="25" t="s">
        <v>8</v>
      </c>
    </row>
    <row r="674" spans="1:25" ht="15.75">
      <c r="A674" s="71">
        <v>1</v>
      </c>
      <c r="B674" s="69" t="s">
        <v>1224</v>
      </c>
      <c r="C674" s="69">
        <v>242518821037</v>
      </c>
      <c r="D674" s="68" t="s">
        <v>299</v>
      </c>
      <c r="E674" s="12" t="s">
        <v>15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9"/>
    </row>
    <row r="675" spans="1:25" ht="15.75">
      <c r="A675" s="71">
        <v>2</v>
      </c>
      <c r="B675" s="69" t="s">
        <v>1225</v>
      </c>
      <c r="C675" s="69">
        <v>242518821038</v>
      </c>
      <c r="D675" s="68" t="s">
        <v>300</v>
      </c>
      <c r="E675" s="12" t="s">
        <v>15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9"/>
    </row>
    <row r="676" spans="1:25" ht="15.75">
      <c r="A676" s="71">
        <v>3</v>
      </c>
      <c r="B676" s="69" t="s">
        <v>1226</v>
      </c>
      <c r="C676" s="69">
        <v>242518821039</v>
      </c>
      <c r="D676" s="68" t="s">
        <v>301</v>
      </c>
      <c r="E676" s="12" t="s">
        <v>15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9"/>
    </row>
    <row r="677" spans="1:25" ht="15.75">
      <c r="A677" s="71">
        <v>4</v>
      </c>
      <c r="B677" s="69" t="s">
        <v>1227</v>
      </c>
      <c r="C677" s="69">
        <v>242518821040</v>
      </c>
      <c r="D677" s="68" t="s">
        <v>302</v>
      </c>
      <c r="E677" s="12" t="s">
        <v>15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9"/>
    </row>
    <row r="678" spans="1:25" ht="15.75">
      <c r="A678" s="71">
        <v>5</v>
      </c>
      <c r="B678" s="69" t="s">
        <v>1228</v>
      </c>
      <c r="C678" s="69">
        <v>242518821041</v>
      </c>
      <c r="D678" s="68" t="s">
        <v>303</v>
      </c>
      <c r="E678" s="12" t="s">
        <v>15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9"/>
    </row>
    <row r="679" spans="1:25" ht="15.75">
      <c r="A679" s="71">
        <v>6</v>
      </c>
      <c r="B679" s="69" t="s">
        <v>1229</v>
      </c>
      <c r="C679" s="69">
        <v>242518821045</v>
      </c>
      <c r="D679" s="68" t="s">
        <v>307</v>
      </c>
      <c r="E679" s="12" t="s">
        <v>15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9"/>
    </row>
    <row r="680" spans="1:25" ht="15.75">
      <c r="A680" s="71">
        <v>7</v>
      </c>
      <c r="B680" s="69" t="s">
        <v>1230</v>
      </c>
      <c r="C680" s="69">
        <v>242518821042</v>
      </c>
      <c r="D680" s="68" t="s">
        <v>304</v>
      </c>
      <c r="E680" s="12" t="s">
        <v>15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9"/>
    </row>
    <row r="681" spans="1:25" ht="15.75">
      <c r="A681" s="71">
        <v>8</v>
      </c>
      <c r="B681" s="69" t="s">
        <v>1231</v>
      </c>
      <c r="C681" s="69">
        <v>242518821043</v>
      </c>
      <c r="D681" s="68" t="s">
        <v>305</v>
      </c>
      <c r="E681" s="12" t="s">
        <v>15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9"/>
    </row>
    <row r="682" spans="1:25" ht="15.75">
      <c r="A682" s="71">
        <v>9</v>
      </c>
      <c r="B682" s="69" t="s">
        <v>1232</v>
      </c>
      <c r="C682" s="69">
        <v>242518821044</v>
      </c>
      <c r="D682" s="68" t="s">
        <v>306</v>
      </c>
      <c r="E682" s="12" t="s">
        <v>15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9"/>
    </row>
    <row r="683" spans="1:25" ht="15.75">
      <c r="A683" s="71">
        <v>10</v>
      </c>
      <c r="B683" s="69" t="s">
        <v>1233</v>
      </c>
      <c r="C683" s="69">
        <v>242518821046</v>
      </c>
      <c r="D683" s="68" t="s">
        <v>308</v>
      </c>
      <c r="E683" s="12" t="s">
        <v>15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9"/>
    </row>
    <row r="684" spans="1:25" ht="15.75">
      <c r="A684" s="71">
        <v>11</v>
      </c>
      <c r="B684" s="69" t="s">
        <v>1234</v>
      </c>
      <c r="C684" s="69">
        <v>242518821047</v>
      </c>
      <c r="D684" s="68" t="s">
        <v>309</v>
      </c>
      <c r="E684" s="12" t="s">
        <v>15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9"/>
    </row>
    <row r="685" spans="1:25" ht="15.75">
      <c r="A685" s="71">
        <v>12</v>
      </c>
      <c r="B685" s="69" t="s">
        <v>1235</v>
      </c>
      <c r="C685" s="69">
        <v>242518821048</v>
      </c>
      <c r="D685" s="68" t="s">
        <v>310</v>
      </c>
      <c r="E685" s="12" t="s">
        <v>15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9"/>
    </row>
    <row r="686" spans="1:25" ht="15.75">
      <c r="A686" s="71">
        <v>13</v>
      </c>
      <c r="B686" s="69" t="s">
        <v>1236</v>
      </c>
      <c r="C686" s="69">
        <v>242518821049</v>
      </c>
      <c r="D686" s="68" t="s">
        <v>311</v>
      </c>
      <c r="E686" s="12" t="s">
        <v>15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9"/>
    </row>
    <row r="687" spans="1:25" ht="15.75">
      <c r="A687" s="71">
        <v>14</v>
      </c>
      <c r="B687" s="69" t="s">
        <v>1237</v>
      </c>
      <c r="C687" s="69">
        <v>242518821050</v>
      </c>
      <c r="D687" s="68" t="s">
        <v>312</v>
      </c>
      <c r="E687" s="12" t="s">
        <v>15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9"/>
    </row>
    <row r="688" spans="1:25" ht="15.75">
      <c r="A688" s="71">
        <v>15</v>
      </c>
      <c r="B688" s="69" t="s">
        <v>1238</v>
      </c>
      <c r="C688" s="69">
        <v>242518821051</v>
      </c>
      <c r="D688" s="68" t="s">
        <v>313</v>
      </c>
      <c r="E688" s="20" t="s">
        <v>15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9"/>
    </row>
    <row r="689" spans="1:25" ht="15.75">
      <c r="A689" s="71">
        <v>16</v>
      </c>
      <c r="B689" s="69" t="s">
        <v>1239</v>
      </c>
      <c r="C689" s="69">
        <v>242518821052</v>
      </c>
      <c r="D689" s="68" t="s">
        <v>314</v>
      </c>
      <c r="E689" s="12" t="s">
        <v>15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9"/>
    </row>
    <row r="690" spans="1:25" ht="15.75">
      <c r="A690" s="71">
        <v>17</v>
      </c>
      <c r="B690" s="69" t="s">
        <v>1240</v>
      </c>
      <c r="C690" s="69">
        <v>242518821053</v>
      </c>
      <c r="D690" s="68" t="s">
        <v>315</v>
      </c>
      <c r="E690" s="12" t="s">
        <v>15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9"/>
    </row>
    <row r="691" spans="1:25" ht="15.75">
      <c r="A691" s="71">
        <v>18</v>
      </c>
      <c r="B691" s="69" t="s">
        <v>1241</v>
      </c>
      <c r="C691" s="69">
        <v>242518821054</v>
      </c>
      <c r="D691" s="68" t="s">
        <v>316</v>
      </c>
      <c r="E691" s="12" t="s">
        <v>15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9"/>
    </row>
    <row r="692" spans="1:25" ht="15.75">
      <c r="A692" s="71">
        <v>19</v>
      </c>
      <c r="B692" s="69" t="s">
        <v>1242</v>
      </c>
      <c r="C692" s="69">
        <v>242518821055</v>
      </c>
      <c r="D692" s="68" t="s">
        <v>317</v>
      </c>
      <c r="E692" s="12" t="s">
        <v>15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9"/>
    </row>
    <row r="693" spans="1:25" ht="15.75">
      <c r="A693" s="71">
        <v>20</v>
      </c>
      <c r="B693" s="69" t="s">
        <v>1243</v>
      </c>
      <c r="C693" s="69">
        <v>242518821056</v>
      </c>
      <c r="D693" s="68" t="s">
        <v>318</v>
      </c>
      <c r="E693" s="12" t="s">
        <v>15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9"/>
    </row>
    <row r="694" spans="1:25" ht="15.75">
      <c r="A694" s="71">
        <v>21</v>
      </c>
      <c r="B694" s="69" t="s">
        <v>1244</v>
      </c>
      <c r="C694" s="69">
        <v>242518821057</v>
      </c>
      <c r="D694" s="68" t="s">
        <v>319</v>
      </c>
      <c r="E694" s="12" t="s">
        <v>15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9"/>
    </row>
    <row r="695" spans="1:25" ht="15.75">
      <c r="A695" s="71">
        <v>22</v>
      </c>
      <c r="B695" s="69" t="s">
        <v>1245</v>
      </c>
      <c r="C695" s="69">
        <v>242518821073</v>
      </c>
      <c r="D695" s="68" t="s">
        <v>832</v>
      </c>
      <c r="E695" s="12" t="s">
        <v>15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9"/>
    </row>
    <row r="696" spans="1:25" ht="15.75">
      <c r="A696" s="71">
        <v>23</v>
      </c>
      <c r="B696" s="69" t="s">
        <v>1246</v>
      </c>
      <c r="C696" s="69">
        <v>242518821058</v>
      </c>
      <c r="D696" s="68" t="s">
        <v>320</v>
      </c>
      <c r="E696" s="12" t="s">
        <v>15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9"/>
    </row>
    <row r="697" spans="1:25" ht="15.75">
      <c r="A697" s="71">
        <v>24</v>
      </c>
      <c r="B697" s="69" t="s">
        <v>1247</v>
      </c>
      <c r="C697" s="69">
        <v>242518821059</v>
      </c>
      <c r="D697" s="68" t="s">
        <v>321</v>
      </c>
      <c r="E697" s="12" t="s">
        <v>15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9"/>
    </row>
    <row r="698" spans="1:25" ht="15.75">
      <c r="A698" s="115">
        <v>25</v>
      </c>
      <c r="B698" s="107" t="s">
        <v>1248</v>
      </c>
      <c r="C698" s="107">
        <v>242518821060</v>
      </c>
      <c r="D698" s="108" t="s">
        <v>322</v>
      </c>
      <c r="E698" s="12" t="s">
        <v>15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9"/>
    </row>
    <row r="699" spans="1:25" ht="15.75">
      <c r="A699" s="115">
        <v>26</v>
      </c>
      <c r="B699" s="107" t="s">
        <v>1249</v>
      </c>
      <c r="C699" s="107">
        <v>242518821061</v>
      </c>
      <c r="D699" s="108" t="s">
        <v>323</v>
      </c>
      <c r="E699" s="12" t="s">
        <v>15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9"/>
    </row>
    <row r="700" spans="1:25" ht="15.75">
      <c r="A700" s="115">
        <v>27</v>
      </c>
      <c r="B700" s="107" t="s">
        <v>1250</v>
      </c>
      <c r="C700" s="107">
        <v>242518821062</v>
      </c>
      <c r="D700" s="108" t="s">
        <v>324</v>
      </c>
      <c r="E700" s="12" t="s">
        <v>15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9"/>
    </row>
    <row r="701" spans="1:25" ht="15.75">
      <c r="A701" s="115">
        <v>28</v>
      </c>
      <c r="B701" s="107" t="s">
        <v>1251</v>
      </c>
      <c r="C701" s="107">
        <v>242518821063</v>
      </c>
      <c r="D701" s="108" t="s">
        <v>325</v>
      </c>
      <c r="E701" s="12" t="s">
        <v>15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9"/>
    </row>
    <row r="702" spans="1:25" ht="15.75">
      <c r="A702" s="115">
        <v>29</v>
      </c>
      <c r="B702" s="107" t="s">
        <v>1252</v>
      </c>
      <c r="C702" s="107">
        <v>242518821064</v>
      </c>
      <c r="D702" s="108" t="s">
        <v>326</v>
      </c>
      <c r="E702" s="12" t="s">
        <v>15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9"/>
    </row>
    <row r="703" spans="1:25" ht="15.75">
      <c r="A703" s="115">
        <v>30</v>
      </c>
      <c r="B703" s="107" t="s">
        <v>1253</v>
      </c>
      <c r="C703" s="107">
        <v>242518821065</v>
      </c>
      <c r="D703" s="108" t="s">
        <v>327</v>
      </c>
      <c r="E703" s="20" t="s">
        <v>15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9"/>
    </row>
    <row r="704" spans="1:25" ht="15.75">
      <c r="A704" s="115">
        <v>31</v>
      </c>
      <c r="B704" s="107" t="s">
        <v>1254</v>
      </c>
      <c r="C704" s="107">
        <v>242518821066</v>
      </c>
      <c r="D704" s="108" t="s">
        <v>328</v>
      </c>
      <c r="E704" s="12" t="s">
        <v>15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9"/>
    </row>
    <row r="705" spans="1:25">
      <c r="A705" s="115">
        <v>32</v>
      </c>
      <c r="B705" s="107" t="s">
        <v>1255</v>
      </c>
      <c r="C705" s="107">
        <v>242518821067</v>
      </c>
      <c r="D705" s="108" t="s">
        <v>833</v>
      </c>
      <c r="E705" s="12" t="s">
        <v>15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5">
      <c r="A706" s="115">
        <v>33</v>
      </c>
      <c r="B706" s="107" t="s">
        <v>1256</v>
      </c>
      <c r="C706" s="107">
        <v>242518821068</v>
      </c>
      <c r="D706" s="108" t="s">
        <v>329</v>
      </c>
      <c r="E706" s="12" t="s">
        <v>15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5">
      <c r="A707" s="115">
        <v>34</v>
      </c>
      <c r="B707" s="107" t="s">
        <v>1257</v>
      </c>
      <c r="C707" s="107">
        <v>242518821069</v>
      </c>
      <c r="D707" s="108" t="s">
        <v>330</v>
      </c>
      <c r="E707" s="12" t="s">
        <v>15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5">
      <c r="A708" s="115">
        <v>35</v>
      </c>
      <c r="B708" s="107" t="s">
        <v>1258</v>
      </c>
      <c r="C708" s="107">
        <v>242518821070</v>
      </c>
      <c r="D708" s="108" t="s">
        <v>331</v>
      </c>
      <c r="E708" s="12" t="s">
        <v>15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5">
      <c r="A709" s="115">
        <v>36</v>
      </c>
      <c r="B709" s="107" t="s">
        <v>1259</v>
      </c>
      <c r="C709" s="107">
        <v>242518821071</v>
      </c>
      <c r="D709" s="108" t="s">
        <v>332</v>
      </c>
      <c r="E709" s="12" t="s">
        <v>15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5">
      <c r="A710" s="115">
        <v>37</v>
      </c>
      <c r="B710" s="107" t="s">
        <v>1260</v>
      </c>
      <c r="C710" s="107">
        <v>242518821072</v>
      </c>
      <c r="D710" s="108" t="s">
        <v>333</v>
      </c>
      <c r="E710" s="12" t="s">
        <v>15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5">
      <c r="A711" s="222" t="s">
        <v>10</v>
      </c>
      <c r="B711" s="223"/>
      <c r="C711" s="224"/>
      <c r="D711" s="225"/>
      <c r="E711" s="89">
        <f>COUNTIF(E674:E709,"L")</f>
        <v>0</v>
      </c>
      <c r="G711" s="7"/>
      <c r="H711" s="7"/>
    </row>
    <row r="712" spans="1:25">
      <c r="A712" s="222" t="s">
        <v>11</v>
      </c>
      <c r="B712" s="223"/>
      <c r="C712" s="224"/>
      <c r="D712" s="225"/>
      <c r="E712" s="89">
        <f>COUNTIF(E674:E710,"P")</f>
        <v>37</v>
      </c>
      <c r="G712" s="2"/>
    </row>
    <row r="713" spans="1:25">
      <c r="A713" s="222" t="s">
        <v>864</v>
      </c>
      <c r="B713" s="223"/>
      <c r="C713" s="224"/>
      <c r="D713" s="225"/>
      <c r="E713" s="126">
        <f>SUM(E711:E712)</f>
        <v>37</v>
      </c>
      <c r="G713" s="2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1"/>
      <c r="S713" s="2"/>
      <c r="T713" s="2"/>
      <c r="U713" s="2"/>
      <c r="V713" s="2"/>
      <c r="W713" s="2"/>
      <c r="X713" s="3"/>
    </row>
    <row r="714" spans="1:25">
      <c r="A714" s="1" t="s">
        <v>12</v>
      </c>
      <c r="B714" s="1"/>
      <c r="C714" s="1"/>
      <c r="D714" s="1"/>
      <c r="E714" s="1"/>
      <c r="F714" s="2"/>
      <c r="G714" s="2"/>
      <c r="H714" s="2"/>
      <c r="I714" s="3"/>
      <c r="J714" s="3"/>
      <c r="K714" s="3"/>
      <c r="L714" s="3"/>
      <c r="M714" s="3"/>
      <c r="N714" s="3"/>
      <c r="O714" s="3"/>
      <c r="P714" s="1" t="s">
        <v>1605</v>
      </c>
      <c r="Q714" s="2"/>
      <c r="T714" s="2"/>
      <c r="U714" s="2"/>
      <c r="V714" s="2"/>
      <c r="W714" s="2"/>
      <c r="X714" s="3"/>
      <c r="Y714" s="2"/>
    </row>
    <row r="715" spans="1:25">
      <c r="A715" s="1" t="s">
        <v>13</v>
      </c>
      <c r="B715" s="1"/>
      <c r="C715" s="1"/>
      <c r="D715" s="1"/>
      <c r="E715" s="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1" t="s">
        <v>14</v>
      </c>
      <c r="Q715" s="3"/>
      <c r="S715" s="2"/>
      <c r="T715" s="2"/>
      <c r="U715" s="2"/>
      <c r="V715" s="2"/>
      <c r="W715" s="2"/>
      <c r="X715" s="3"/>
      <c r="Y715" s="2"/>
    </row>
    <row r="716" spans="1:25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"/>
      <c r="Q716" s="3"/>
      <c r="S716" s="2"/>
      <c r="T716" s="2"/>
      <c r="U716" s="2"/>
      <c r="V716" s="2"/>
      <c r="W716" s="2"/>
      <c r="X716" s="3"/>
      <c r="Y716" s="2"/>
    </row>
    <row r="717" spans="1:25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S717" s="2"/>
      <c r="T717" s="2"/>
      <c r="U717" s="2"/>
      <c r="V717" s="2"/>
      <c r="W717" s="2"/>
      <c r="X717" s="2"/>
      <c r="Y717" s="2"/>
    </row>
    <row r="718" spans="1:25" ht="15.75">
      <c r="A718" s="8" t="s">
        <v>854</v>
      </c>
      <c r="B718" s="8"/>
      <c r="C718" s="8"/>
      <c r="D718" s="8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8" t="s">
        <v>16</v>
      </c>
      <c r="Q718" s="8"/>
      <c r="S718" s="2"/>
      <c r="T718" s="9"/>
      <c r="U718" s="9"/>
      <c r="V718" s="9"/>
      <c r="W718" s="9"/>
      <c r="X718" s="9"/>
      <c r="Y718" s="2"/>
    </row>
    <row r="719" spans="1:25" ht="15.75">
      <c r="A719" s="8" t="s">
        <v>855</v>
      </c>
      <c r="B719" s="8"/>
      <c r="C719" s="8"/>
      <c r="D719" s="8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8" t="s">
        <v>17</v>
      </c>
      <c r="Q719" s="2"/>
      <c r="T719" s="9"/>
      <c r="U719" s="9"/>
      <c r="V719" s="9"/>
      <c r="Y719" s="9"/>
    </row>
  </sheetData>
  <mergeCells count="165">
    <mergeCell ref="A438:D438"/>
    <mergeCell ref="A439:D439"/>
    <mergeCell ref="A440:D440"/>
    <mergeCell ref="A502:D502"/>
    <mergeCell ref="A501:D501"/>
    <mergeCell ref="A500:D500"/>
    <mergeCell ref="A670:B670"/>
    <mergeCell ref="A672:A673"/>
    <mergeCell ref="B672:B673"/>
    <mergeCell ref="C672:C673"/>
    <mergeCell ref="E672:E673"/>
    <mergeCell ref="F672:U672"/>
    <mergeCell ref="V672:X672"/>
    <mergeCell ref="F527:U527"/>
    <mergeCell ref="V527:X527"/>
    <mergeCell ref="A664:X664"/>
    <mergeCell ref="A665:X665"/>
    <mergeCell ref="A666:X666"/>
    <mergeCell ref="A668:B668"/>
    <mergeCell ref="A590:B590"/>
    <mergeCell ref="A592:A593"/>
    <mergeCell ref="B592:B593"/>
    <mergeCell ref="C592:C593"/>
    <mergeCell ref="E592:E593"/>
    <mergeCell ref="F592:U592"/>
    <mergeCell ref="V592:X592"/>
    <mergeCell ref="A567:D567"/>
    <mergeCell ref="A630:D630"/>
    <mergeCell ref="A631:D631"/>
    <mergeCell ref="V334:X334"/>
    <mergeCell ref="A393:X393"/>
    <mergeCell ref="A394:X394"/>
    <mergeCell ref="A400:A401"/>
    <mergeCell ref="B400:B401"/>
    <mergeCell ref="C400:C401"/>
    <mergeCell ref="E400:E401"/>
    <mergeCell ref="F400:U400"/>
    <mergeCell ref="V400:X400"/>
    <mergeCell ref="A334:A335"/>
    <mergeCell ref="B334:B335"/>
    <mergeCell ref="C334:C335"/>
    <mergeCell ref="E334:E335"/>
    <mergeCell ref="F334:U334"/>
    <mergeCell ref="D399:Y399"/>
    <mergeCell ref="A373:D373"/>
    <mergeCell ref="A371:D371"/>
    <mergeCell ref="A372:D372"/>
    <mergeCell ref="A227:D227"/>
    <mergeCell ref="A308:D308"/>
    <mergeCell ref="A306:D306"/>
    <mergeCell ref="A307:D307"/>
    <mergeCell ref="A132:A133"/>
    <mergeCell ref="B132:B133"/>
    <mergeCell ref="C132:C133"/>
    <mergeCell ref="E132:E133"/>
    <mergeCell ref="F132:U132"/>
    <mergeCell ref="A164:B164"/>
    <mergeCell ref="C164:D164"/>
    <mergeCell ref="A165:B165"/>
    <mergeCell ref="C165:D165"/>
    <mergeCell ref="F269:U269"/>
    <mergeCell ref="A166:B166"/>
    <mergeCell ref="C166:D166"/>
    <mergeCell ref="A225:B225"/>
    <mergeCell ref="C225:D225"/>
    <mergeCell ref="A226:B226"/>
    <mergeCell ref="C226:D226"/>
    <mergeCell ref="A183:X183"/>
    <mergeCell ref="A184:X184"/>
    <mergeCell ref="D188:Y188"/>
    <mergeCell ref="D189:Y189"/>
    <mergeCell ref="A49:B49"/>
    <mergeCell ref="C49:D49"/>
    <mergeCell ref="D72:Y72"/>
    <mergeCell ref="A73:A74"/>
    <mergeCell ref="B73:B74"/>
    <mergeCell ref="C73:C74"/>
    <mergeCell ref="E73:E74"/>
    <mergeCell ref="F73:U73"/>
    <mergeCell ref="V73:X73"/>
    <mergeCell ref="A66:X66"/>
    <mergeCell ref="A67:X67"/>
    <mergeCell ref="A7:X7"/>
    <mergeCell ref="A8:X8"/>
    <mergeCell ref="A11:B11"/>
    <mergeCell ref="D11:Y11"/>
    <mergeCell ref="A12:B12"/>
    <mergeCell ref="D14:D15"/>
    <mergeCell ref="A47:B47"/>
    <mergeCell ref="C47:D47"/>
    <mergeCell ref="A48:B48"/>
    <mergeCell ref="C48:D48"/>
    <mergeCell ref="D13:Y13"/>
    <mergeCell ref="A14:A15"/>
    <mergeCell ref="B14:B15"/>
    <mergeCell ref="C14:C15"/>
    <mergeCell ref="E14:E15"/>
    <mergeCell ref="F14:U14"/>
    <mergeCell ref="V14:X14"/>
    <mergeCell ref="A70:B70"/>
    <mergeCell ref="D70:Y70"/>
    <mergeCell ref="A71:B71"/>
    <mergeCell ref="C71:D71"/>
    <mergeCell ref="D131:Y131"/>
    <mergeCell ref="A190:A191"/>
    <mergeCell ref="B190:B191"/>
    <mergeCell ref="C190:C191"/>
    <mergeCell ref="E190:E191"/>
    <mergeCell ref="F190:U190"/>
    <mergeCell ref="D73:D74"/>
    <mergeCell ref="D132:D133"/>
    <mergeCell ref="V132:X132"/>
    <mergeCell ref="A125:X125"/>
    <mergeCell ref="A126:X126"/>
    <mergeCell ref="A129:B129"/>
    <mergeCell ref="D129:Y129"/>
    <mergeCell ref="A130:B130"/>
    <mergeCell ref="V269:X269"/>
    <mergeCell ref="V190:X190"/>
    <mergeCell ref="A261:X261"/>
    <mergeCell ref="A262:X262"/>
    <mergeCell ref="E269:E270"/>
    <mergeCell ref="A712:B712"/>
    <mergeCell ref="C712:D712"/>
    <mergeCell ref="A585:X585"/>
    <mergeCell ref="A586:X586"/>
    <mergeCell ref="A587:X587"/>
    <mergeCell ref="A589:B589"/>
    <mergeCell ref="A520:X520"/>
    <mergeCell ref="A521:X521"/>
    <mergeCell ref="A527:A528"/>
    <mergeCell ref="B527:B528"/>
    <mergeCell ref="C527:C528"/>
    <mergeCell ref="E527:E528"/>
    <mergeCell ref="A568:D568"/>
    <mergeCell ref="A569:D569"/>
    <mergeCell ref="A629:D629"/>
    <mergeCell ref="D190:D191"/>
    <mergeCell ref="D269:D270"/>
    <mergeCell ref="D334:D335"/>
    <mergeCell ref="D400:D401"/>
    <mergeCell ref="A327:X327"/>
    <mergeCell ref="A328:X328"/>
    <mergeCell ref="D333:Y333"/>
    <mergeCell ref="D267:Y267"/>
    <mergeCell ref="D268:Y268"/>
    <mergeCell ref="A269:A270"/>
    <mergeCell ref="B269:B270"/>
    <mergeCell ref="C269:C270"/>
    <mergeCell ref="A713:B713"/>
    <mergeCell ref="C713:D713"/>
    <mergeCell ref="A711:B711"/>
    <mergeCell ref="C711:D711"/>
    <mergeCell ref="A455:X455"/>
    <mergeCell ref="A456:X456"/>
    <mergeCell ref="A463:A464"/>
    <mergeCell ref="B463:B464"/>
    <mergeCell ref="C463:C464"/>
    <mergeCell ref="E463:E464"/>
    <mergeCell ref="F463:U463"/>
    <mergeCell ref="V463:X463"/>
    <mergeCell ref="D672:D673"/>
    <mergeCell ref="D463:D464"/>
    <mergeCell ref="D527:D528"/>
    <mergeCell ref="D592:D593"/>
  </mergeCells>
  <phoneticPr fontId="27" type="noConversion"/>
  <printOptions horizontalCentered="1"/>
  <pageMargins left="0" right="0" top="0.74803149606299213" bottom="0.74803149606299213" header="0.31496062992125984" footer="0.31496062992125984"/>
  <pageSetup paperSize="5" scale="75" fitToHeight="11" orientation="portrait" horizontalDpi="360" verticalDpi="360" r:id="rId1"/>
  <rowBreaks count="8" manualBreakCount="8">
    <brk id="58" min="3" max="32" man="1"/>
    <brk id="117" min="3" max="32" man="1"/>
    <brk id="175" min="3" max="32" man="1"/>
    <brk id="317" min="3" max="32" man="1"/>
    <brk id="385" min="3" max="32" man="1"/>
    <brk id="446" min="3" max="32" man="1"/>
    <brk id="511" min="3" max="32" man="1"/>
    <brk id="577" min="3" max="3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</vt:lpstr>
      <vt:lpstr>XI</vt:lpstr>
      <vt:lpstr>XII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Alkhawarizmi</cp:lastModifiedBy>
  <cp:lastPrinted>2026-07-24T06:43:33Z</cp:lastPrinted>
  <dcterms:created xsi:type="dcterms:W3CDTF">2014-09-05T22:23:00Z</dcterms:created>
  <dcterms:modified xsi:type="dcterms:W3CDTF">2026-07-28T15:24:27Z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