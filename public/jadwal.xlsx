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khawarizmi\Documents\"/>
    </mc:Choice>
  </mc:AlternateContent>
  <xr:revisionPtr revIDLastSave="0" documentId="8_{C8639CC2-D928-4DDB-86D9-273F6AFA5163}" xr6:coauthVersionLast="47" xr6:coauthVersionMax="47" xr10:uidLastSave="{00000000-0000-0000-0000-000000000000}"/>
  <bookViews>
    <workbookView xWindow="-120" yWindow="-120" windowWidth="20730" windowHeight="11160" xr2:uid="{F853CA25-0783-44B6-8FAF-70D46B9A8EF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120" i="1" l="1"/>
  <c r="Y120" i="1" s="1"/>
  <c r="W120" i="1"/>
  <c r="V120" i="1"/>
  <c r="T120" i="1"/>
  <c r="P120" i="1"/>
  <c r="O120" i="1"/>
  <c r="N120" i="1"/>
  <c r="M120" i="1"/>
  <c r="H120" i="1"/>
  <c r="E120" i="1"/>
  <c r="X119" i="1"/>
  <c r="W119" i="1"/>
  <c r="V119" i="1"/>
  <c r="Y119" i="1" s="1"/>
  <c r="T119" i="1"/>
  <c r="U119" i="1" s="1"/>
  <c r="P119" i="1"/>
  <c r="O119" i="1"/>
  <c r="N119" i="1"/>
  <c r="M119" i="1"/>
  <c r="H119" i="1"/>
  <c r="E119" i="1"/>
  <c r="X118" i="1"/>
  <c r="W118" i="1"/>
  <c r="V118" i="1"/>
  <c r="Y118" i="1" s="1"/>
  <c r="T118" i="1"/>
  <c r="U118" i="1" s="1"/>
  <c r="P118" i="1"/>
  <c r="O118" i="1"/>
  <c r="N118" i="1"/>
  <c r="M118" i="1"/>
  <c r="H118" i="1"/>
  <c r="E118" i="1"/>
  <c r="X117" i="1"/>
  <c r="W117" i="1"/>
  <c r="V117" i="1"/>
  <c r="Y117" i="1" s="1"/>
  <c r="T117" i="1"/>
  <c r="P117" i="1"/>
  <c r="O117" i="1"/>
  <c r="N117" i="1"/>
  <c r="M117" i="1"/>
  <c r="H117" i="1"/>
  <c r="E117" i="1"/>
  <c r="X116" i="1"/>
  <c r="W116" i="1"/>
  <c r="V116" i="1"/>
  <c r="Y116" i="1" s="1"/>
  <c r="T116" i="1"/>
  <c r="U116" i="1" s="1"/>
  <c r="P116" i="1"/>
  <c r="O116" i="1"/>
  <c r="N116" i="1"/>
  <c r="M116" i="1"/>
  <c r="H116" i="1"/>
  <c r="E116" i="1"/>
  <c r="X115" i="1"/>
  <c r="W115" i="1"/>
  <c r="V115" i="1"/>
  <c r="Y115" i="1" s="1"/>
  <c r="T115" i="1"/>
  <c r="U115" i="1" s="1"/>
  <c r="P115" i="1"/>
  <c r="O115" i="1"/>
  <c r="N115" i="1"/>
  <c r="M115" i="1"/>
  <c r="H115" i="1"/>
  <c r="E115" i="1"/>
  <c r="X114" i="1"/>
  <c r="W114" i="1"/>
  <c r="V114" i="1"/>
  <c r="Y114" i="1" s="1"/>
  <c r="T114" i="1"/>
  <c r="U114" i="1" s="1"/>
  <c r="P114" i="1"/>
  <c r="O114" i="1"/>
  <c r="N114" i="1"/>
  <c r="M114" i="1"/>
  <c r="H114" i="1"/>
  <c r="E114" i="1"/>
  <c r="X113" i="1"/>
  <c r="W113" i="1"/>
  <c r="V113" i="1"/>
  <c r="Y113" i="1" s="1"/>
  <c r="U113" i="1" s="1"/>
  <c r="T113" i="1"/>
  <c r="P113" i="1"/>
  <c r="O113" i="1"/>
  <c r="N113" i="1"/>
  <c r="M113" i="1"/>
  <c r="H113" i="1"/>
  <c r="E113" i="1"/>
  <c r="Y112" i="1"/>
  <c r="X112" i="1"/>
  <c r="W112" i="1"/>
  <c r="V112" i="1"/>
  <c r="T112" i="1"/>
  <c r="U112" i="1" s="1"/>
  <c r="P112" i="1"/>
  <c r="O112" i="1"/>
  <c r="N112" i="1"/>
  <c r="M112" i="1"/>
  <c r="H112" i="1"/>
  <c r="E112" i="1"/>
  <c r="X111" i="1"/>
  <c r="W111" i="1"/>
  <c r="V111" i="1"/>
  <c r="Y111" i="1" s="1"/>
  <c r="U111" i="1" s="1"/>
  <c r="T111" i="1"/>
  <c r="P111" i="1"/>
  <c r="O111" i="1"/>
  <c r="N111" i="1"/>
  <c r="M111" i="1"/>
  <c r="H111" i="1"/>
  <c r="E111" i="1"/>
  <c r="Y110" i="1"/>
  <c r="X110" i="1"/>
  <c r="W110" i="1"/>
  <c r="V110" i="1"/>
  <c r="T110" i="1"/>
  <c r="U110" i="1" s="1"/>
  <c r="P110" i="1"/>
  <c r="O110" i="1"/>
  <c r="N110" i="1"/>
  <c r="M110" i="1"/>
  <c r="H110" i="1"/>
  <c r="E110" i="1"/>
  <c r="X109" i="1"/>
  <c r="W109" i="1"/>
  <c r="V109" i="1"/>
  <c r="Y109" i="1" s="1"/>
  <c r="U109" i="1" s="1"/>
  <c r="T109" i="1"/>
  <c r="P109" i="1"/>
  <c r="O109" i="1"/>
  <c r="N109" i="1"/>
  <c r="M109" i="1"/>
  <c r="H109" i="1"/>
  <c r="E109" i="1"/>
  <c r="Y108" i="1"/>
  <c r="X108" i="1"/>
  <c r="W108" i="1"/>
  <c r="V108" i="1"/>
  <c r="T108" i="1"/>
  <c r="U108" i="1" s="1"/>
  <c r="P108" i="1"/>
  <c r="O108" i="1"/>
  <c r="N108" i="1"/>
  <c r="M108" i="1"/>
  <c r="H108" i="1"/>
  <c r="E108" i="1"/>
  <c r="X107" i="1"/>
  <c r="W107" i="1"/>
  <c r="V107" i="1"/>
  <c r="Y107" i="1" s="1"/>
  <c r="U107" i="1" s="1"/>
  <c r="T107" i="1"/>
  <c r="P107" i="1"/>
  <c r="O107" i="1"/>
  <c r="N107" i="1"/>
  <c r="M107" i="1"/>
  <c r="H107" i="1"/>
  <c r="E107" i="1"/>
  <c r="Y106" i="1"/>
  <c r="X106" i="1"/>
  <c r="W106" i="1"/>
  <c r="V106" i="1"/>
  <c r="T106" i="1"/>
  <c r="U106" i="1" s="1"/>
  <c r="P106" i="1"/>
  <c r="O106" i="1"/>
  <c r="N106" i="1"/>
  <c r="M106" i="1"/>
  <c r="H106" i="1"/>
  <c r="E106" i="1"/>
  <c r="X105" i="1"/>
  <c r="W105" i="1"/>
  <c r="V105" i="1"/>
  <c r="Y105" i="1" s="1"/>
  <c r="U105" i="1" s="1"/>
  <c r="T105" i="1"/>
  <c r="P105" i="1"/>
  <c r="O105" i="1"/>
  <c r="N105" i="1"/>
  <c r="M105" i="1"/>
  <c r="H105" i="1"/>
  <c r="E105" i="1"/>
  <c r="Y104" i="1"/>
  <c r="X104" i="1"/>
  <c r="W104" i="1"/>
  <c r="V104" i="1"/>
  <c r="T104" i="1"/>
  <c r="U104" i="1" s="1"/>
  <c r="P104" i="1"/>
  <c r="O104" i="1"/>
  <c r="N104" i="1"/>
  <c r="M104" i="1"/>
  <c r="H104" i="1"/>
  <c r="E104" i="1"/>
  <c r="X103" i="1"/>
  <c r="W103" i="1"/>
  <c r="V103" i="1"/>
  <c r="Y103" i="1" s="1"/>
  <c r="U103" i="1" s="1"/>
  <c r="T103" i="1"/>
  <c r="P103" i="1"/>
  <c r="O103" i="1"/>
  <c r="N103" i="1"/>
  <c r="M103" i="1"/>
  <c r="H103" i="1"/>
  <c r="E103" i="1"/>
  <c r="Y102" i="1"/>
  <c r="X102" i="1"/>
  <c r="W102" i="1"/>
  <c r="V102" i="1"/>
  <c r="T102" i="1"/>
  <c r="U102" i="1" s="1"/>
  <c r="P102" i="1"/>
  <c r="O102" i="1"/>
  <c r="N102" i="1"/>
  <c r="M102" i="1"/>
  <c r="H102" i="1"/>
  <c r="E102" i="1"/>
  <c r="X101" i="1"/>
  <c r="W101" i="1"/>
  <c r="V101" i="1"/>
  <c r="Y101" i="1" s="1"/>
  <c r="U101" i="1" s="1"/>
  <c r="T101" i="1"/>
  <c r="P101" i="1"/>
  <c r="O101" i="1"/>
  <c r="N101" i="1"/>
  <c r="M101" i="1"/>
  <c r="H101" i="1"/>
  <c r="E101" i="1"/>
  <c r="Y100" i="1"/>
  <c r="X100" i="1"/>
  <c r="W100" i="1"/>
  <c r="V100" i="1"/>
  <c r="T100" i="1"/>
  <c r="U100" i="1" s="1"/>
  <c r="P100" i="1"/>
  <c r="O100" i="1"/>
  <c r="N100" i="1"/>
  <c r="M100" i="1"/>
  <c r="H100" i="1"/>
  <c r="E100" i="1"/>
  <c r="X99" i="1"/>
  <c r="W99" i="1"/>
  <c r="V99" i="1"/>
  <c r="Y99" i="1" s="1"/>
  <c r="U99" i="1" s="1"/>
  <c r="T99" i="1"/>
  <c r="P99" i="1"/>
  <c r="O99" i="1"/>
  <c r="N99" i="1"/>
  <c r="M99" i="1"/>
  <c r="H99" i="1"/>
  <c r="E99" i="1"/>
  <c r="X98" i="1"/>
  <c r="W98" i="1"/>
  <c r="Y98" i="1" s="1"/>
  <c r="V98" i="1"/>
  <c r="T98" i="1"/>
  <c r="U98" i="1" s="1"/>
  <c r="P98" i="1"/>
  <c r="O98" i="1"/>
  <c r="N98" i="1"/>
  <c r="M98" i="1"/>
  <c r="H98" i="1"/>
  <c r="E98" i="1"/>
  <c r="X97" i="1"/>
  <c r="W97" i="1"/>
  <c r="V97" i="1"/>
  <c r="Y97" i="1" s="1"/>
  <c r="U97" i="1" s="1"/>
  <c r="T97" i="1"/>
  <c r="P97" i="1"/>
  <c r="O97" i="1"/>
  <c r="N97" i="1"/>
  <c r="M97" i="1"/>
  <c r="H97" i="1"/>
  <c r="E97" i="1"/>
  <c r="X96" i="1"/>
  <c r="W96" i="1"/>
  <c r="Y96" i="1" s="1"/>
  <c r="V96" i="1"/>
  <c r="T96" i="1"/>
  <c r="P96" i="1"/>
  <c r="O96" i="1"/>
  <c r="N96" i="1"/>
  <c r="M96" i="1"/>
  <c r="H96" i="1"/>
  <c r="E96" i="1"/>
  <c r="X95" i="1"/>
  <c r="W95" i="1"/>
  <c r="V95" i="1"/>
  <c r="Y95" i="1" s="1"/>
  <c r="U95" i="1" s="1"/>
  <c r="T95" i="1"/>
  <c r="P95" i="1"/>
  <c r="O95" i="1"/>
  <c r="N95" i="1"/>
  <c r="M95" i="1"/>
  <c r="H95" i="1"/>
  <c r="E95" i="1"/>
  <c r="X94" i="1"/>
  <c r="W94" i="1"/>
  <c r="Y94" i="1" s="1"/>
  <c r="V94" i="1"/>
  <c r="T94" i="1"/>
  <c r="U94" i="1" s="1"/>
  <c r="P94" i="1"/>
  <c r="O94" i="1"/>
  <c r="N94" i="1"/>
  <c r="M94" i="1"/>
  <c r="H94" i="1"/>
  <c r="E94" i="1"/>
  <c r="X93" i="1"/>
  <c r="W93" i="1"/>
  <c r="V93" i="1"/>
  <c r="Y93" i="1" s="1"/>
  <c r="U93" i="1" s="1"/>
  <c r="T93" i="1"/>
  <c r="P93" i="1"/>
  <c r="O93" i="1"/>
  <c r="N93" i="1"/>
  <c r="M93" i="1"/>
  <c r="H93" i="1"/>
  <c r="E93" i="1"/>
  <c r="X92" i="1"/>
  <c r="W92" i="1"/>
  <c r="Y92" i="1" s="1"/>
  <c r="V92" i="1"/>
  <c r="T92" i="1"/>
  <c r="P92" i="1"/>
  <c r="O92" i="1"/>
  <c r="N92" i="1"/>
  <c r="M92" i="1"/>
  <c r="H92" i="1"/>
  <c r="E92" i="1"/>
  <c r="X91" i="1"/>
  <c r="W91" i="1"/>
  <c r="V91" i="1"/>
  <c r="Y91" i="1" s="1"/>
  <c r="U91" i="1" s="1"/>
  <c r="T91" i="1"/>
  <c r="P91" i="1"/>
  <c r="O91" i="1"/>
  <c r="N91" i="1"/>
  <c r="M91" i="1"/>
  <c r="H91" i="1"/>
  <c r="E91" i="1"/>
  <c r="X90" i="1"/>
  <c r="W90" i="1"/>
  <c r="Y90" i="1" s="1"/>
  <c r="V90" i="1"/>
  <c r="T90" i="1"/>
  <c r="U90" i="1" s="1"/>
  <c r="P90" i="1"/>
  <c r="O90" i="1"/>
  <c r="N90" i="1"/>
  <c r="M90" i="1"/>
  <c r="H90" i="1"/>
  <c r="E90" i="1"/>
  <c r="X89" i="1"/>
  <c r="W89" i="1"/>
  <c r="V89" i="1"/>
  <c r="Y89" i="1" s="1"/>
  <c r="U89" i="1" s="1"/>
  <c r="T89" i="1"/>
  <c r="P89" i="1"/>
  <c r="O89" i="1"/>
  <c r="N89" i="1"/>
  <c r="M89" i="1"/>
  <c r="H89" i="1"/>
  <c r="E89" i="1"/>
  <c r="X88" i="1"/>
  <c r="W88" i="1"/>
  <c r="Y88" i="1" s="1"/>
  <c r="V88" i="1"/>
  <c r="T88" i="1"/>
  <c r="P88" i="1"/>
  <c r="O88" i="1"/>
  <c r="N88" i="1"/>
  <c r="M88" i="1"/>
  <c r="H88" i="1"/>
  <c r="E88" i="1"/>
  <c r="X87" i="1"/>
  <c r="W87" i="1"/>
  <c r="V87" i="1"/>
  <c r="Y87" i="1" s="1"/>
  <c r="U87" i="1" s="1"/>
  <c r="T87" i="1"/>
  <c r="P87" i="1"/>
  <c r="O87" i="1"/>
  <c r="N87" i="1"/>
  <c r="M87" i="1"/>
  <c r="H87" i="1"/>
  <c r="E87" i="1"/>
  <c r="X86" i="1"/>
  <c r="W86" i="1"/>
  <c r="Y86" i="1" s="1"/>
  <c r="V86" i="1"/>
  <c r="T86" i="1"/>
  <c r="U86" i="1" s="1"/>
  <c r="P86" i="1"/>
  <c r="O86" i="1"/>
  <c r="N86" i="1"/>
  <c r="M86" i="1"/>
  <c r="H86" i="1"/>
  <c r="E86" i="1"/>
  <c r="X85" i="1"/>
  <c r="W85" i="1"/>
  <c r="V85" i="1"/>
  <c r="Y85" i="1" s="1"/>
  <c r="U85" i="1" s="1"/>
  <c r="T85" i="1"/>
  <c r="P85" i="1"/>
  <c r="O85" i="1"/>
  <c r="N85" i="1"/>
  <c r="M85" i="1"/>
  <c r="H85" i="1"/>
  <c r="E85" i="1"/>
  <c r="X84" i="1"/>
  <c r="W84" i="1"/>
  <c r="Y84" i="1" s="1"/>
  <c r="V84" i="1"/>
  <c r="T84" i="1"/>
  <c r="P84" i="1"/>
  <c r="O84" i="1"/>
  <c r="N84" i="1"/>
  <c r="M84" i="1"/>
  <c r="H84" i="1"/>
  <c r="E84" i="1"/>
  <c r="X83" i="1"/>
  <c r="W83" i="1"/>
  <c r="V83" i="1"/>
  <c r="Y83" i="1" s="1"/>
  <c r="U83" i="1" s="1"/>
  <c r="T83" i="1"/>
  <c r="P83" i="1"/>
  <c r="O83" i="1"/>
  <c r="N83" i="1"/>
  <c r="M83" i="1"/>
  <c r="H83" i="1"/>
  <c r="E83" i="1"/>
  <c r="X82" i="1"/>
  <c r="W82" i="1"/>
  <c r="Y82" i="1" s="1"/>
  <c r="V82" i="1"/>
  <c r="T82" i="1"/>
  <c r="U82" i="1" s="1"/>
  <c r="P82" i="1"/>
  <c r="O82" i="1"/>
  <c r="N82" i="1"/>
  <c r="M82" i="1"/>
  <c r="H82" i="1"/>
  <c r="E82" i="1"/>
  <c r="X81" i="1"/>
  <c r="W81" i="1"/>
  <c r="V81" i="1"/>
  <c r="Y81" i="1" s="1"/>
  <c r="U81" i="1" s="1"/>
  <c r="T81" i="1"/>
  <c r="P81" i="1"/>
  <c r="O81" i="1"/>
  <c r="N81" i="1"/>
  <c r="M81" i="1"/>
  <c r="H81" i="1"/>
  <c r="E81" i="1"/>
  <c r="X80" i="1"/>
  <c r="W80" i="1"/>
  <c r="Y80" i="1" s="1"/>
  <c r="V80" i="1"/>
  <c r="T80" i="1"/>
  <c r="P80" i="1"/>
  <c r="O80" i="1"/>
  <c r="N80" i="1"/>
  <c r="M80" i="1"/>
  <c r="H80" i="1"/>
  <c r="E80" i="1"/>
  <c r="X79" i="1"/>
  <c r="W79" i="1"/>
  <c r="V79" i="1"/>
  <c r="Y79" i="1" s="1"/>
  <c r="U79" i="1" s="1"/>
  <c r="T79" i="1"/>
  <c r="P79" i="1"/>
  <c r="O79" i="1"/>
  <c r="N79" i="1"/>
  <c r="M79" i="1"/>
  <c r="H79" i="1"/>
  <c r="E79" i="1"/>
  <c r="X78" i="1"/>
  <c r="W78" i="1"/>
  <c r="Y78" i="1" s="1"/>
  <c r="V78" i="1"/>
  <c r="T78" i="1"/>
  <c r="U78" i="1" s="1"/>
  <c r="P78" i="1"/>
  <c r="O78" i="1"/>
  <c r="N78" i="1"/>
  <c r="M78" i="1"/>
  <c r="H78" i="1"/>
  <c r="E78" i="1"/>
  <c r="X77" i="1"/>
  <c r="W77" i="1"/>
  <c r="V77" i="1"/>
  <c r="Y77" i="1" s="1"/>
  <c r="U77" i="1" s="1"/>
  <c r="T77" i="1"/>
  <c r="P77" i="1"/>
  <c r="O77" i="1"/>
  <c r="N77" i="1"/>
  <c r="M77" i="1"/>
  <c r="H77" i="1"/>
  <c r="E77" i="1"/>
  <c r="X76" i="1"/>
  <c r="W76" i="1"/>
  <c r="Y76" i="1" s="1"/>
  <c r="V76" i="1"/>
  <c r="T76" i="1"/>
  <c r="P76" i="1"/>
  <c r="O76" i="1"/>
  <c r="N76" i="1"/>
  <c r="M76" i="1"/>
  <c r="H76" i="1"/>
  <c r="E76" i="1"/>
  <c r="X75" i="1"/>
  <c r="W75" i="1"/>
  <c r="V75" i="1"/>
  <c r="Y75" i="1" s="1"/>
  <c r="U75" i="1" s="1"/>
  <c r="T75" i="1"/>
  <c r="P75" i="1"/>
  <c r="O75" i="1"/>
  <c r="N75" i="1"/>
  <c r="M75" i="1"/>
  <c r="H75" i="1"/>
  <c r="E75" i="1"/>
  <c r="X74" i="1"/>
  <c r="W74" i="1"/>
  <c r="V74" i="1"/>
  <c r="Y74" i="1" s="1"/>
  <c r="T74" i="1"/>
  <c r="U74" i="1" s="1"/>
  <c r="P74" i="1"/>
  <c r="O74" i="1"/>
  <c r="N74" i="1"/>
  <c r="M74" i="1"/>
  <c r="H74" i="1"/>
  <c r="X73" i="1"/>
  <c r="W73" i="1"/>
  <c r="V73" i="1"/>
  <c r="Y73" i="1" s="1"/>
  <c r="U73" i="1" s="1"/>
  <c r="T73" i="1"/>
  <c r="O73" i="1"/>
  <c r="N73" i="1"/>
  <c r="P73" i="1" s="1"/>
  <c r="M73" i="1"/>
  <c r="H73" i="1"/>
  <c r="Y72" i="1"/>
  <c r="U72" i="1" s="1"/>
  <c r="X72" i="1"/>
  <c r="W72" i="1"/>
  <c r="V72" i="1"/>
  <c r="T72" i="1"/>
  <c r="O72" i="1"/>
  <c r="N72" i="1"/>
  <c r="M72" i="1"/>
  <c r="P72" i="1" s="1"/>
  <c r="H72" i="1"/>
  <c r="E72" i="1"/>
  <c r="Y71" i="1"/>
  <c r="X71" i="1"/>
  <c r="W71" i="1"/>
  <c r="V71" i="1"/>
  <c r="U71" i="1"/>
  <c r="T71" i="1"/>
  <c r="O71" i="1"/>
  <c r="N71" i="1"/>
  <c r="P71" i="1" s="1"/>
  <c r="M71" i="1"/>
  <c r="H71" i="1"/>
  <c r="E71" i="1"/>
  <c r="Y70" i="1"/>
  <c r="U70" i="1" s="1"/>
  <c r="X70" i="1"/>
  <c r="W70" i="1"/>
  <c r="V70" i="1"/>
  <c r="T70" i="1"/>
  <c r="O70" i="1"/>
  <c r="N70" i="1"/>
  <c r="M70" i="1"/>
  <c r="P70" i="1" s="1"/>
  <c r="H70" i="1"/>
  <c r="E70" i="1"/>
  <c r="Y69" i="1"/>
  <c r="X69" i="1"/>
  <c r="W69" i="1"/>
  <c r="V69" i="1"/>
  <c r="U69" i="1"/>
  <c r="T69" i="1"/>
  <c r="O69" i="1"/>
  <c r="N69" i="1"/>
  <c r="P69" i="1" s="1"/>
  <c r="M69" i="1"/>
  <c r="H69" i="1"/>
  <c r="E69" i="1"/>
  <c r="Y68" i="1"/>
  <c r="U68" i="1" s="1"/>
  <c r="X68" i="1"/>
  <c r="W68" i="1"/>
  <c r="V68" i="1"/>
  <c r="T68" i="1"/>
  <c r="O68" i="1"/>
  <c r="N68" i="1"/>
  <c r="M68" i="1"/>
  <c r="P68" i="1" s="1"/>
  <c r="H68" i="1"/>
  <c r="E68" i="1"/>
  <c r="Y67" i="1"/>
  <c r="X67" i="1"/>
  <c r="W67" i="1"/>
  <c r="V67" i="1"/>
  <c r="U67" i="1"/>
  <c r="T67" i="1"/>
  <c r="O67" i="1"/>
  <c r="N67" i="1"/>
  <c r="P67" i="1" s="1"/>
  <c r="M67" i="1"/>
  <c r="H67" i="1"/>
  <c r="E67" i="1"/>
  <c r="Y66" i="1"/>
  <c r="U66" i="1" s="1"/>
  <c r="X66" i="1"/>
  <c r="W66" i="1"/>
  <c r="V66" i="1"/>
  <c r="T66" i="1"/>
  <c r="O66" i="1"/>
  <c r="N66" i="1"/>
  <c r="M66" i="1"/>
  <c r="P66" i="1" s="1"/>
  <c r="H66" i="1"/>
  <c r="E66" i="1"/>
  <c r="Y65" i="1"/>
  <c r="X65" i="1"/>
  <c r="W65" i="1"/>
  <c r="V65" i="1"/>
  <c r="U65" i="1"/>
  <c r="T65" i="1"/>
  <c r="O65" i="1"/>
  <c r="N65" i="1"/>
  <c r="P65" i="1" s="1"/>
  <c r="M65" i="1"/>
  <c r="H65" i="1"/>
  <c r="E65" i="1"/>
  <c r="Y64" i="1"/>
  <c r="U64" i="1" s="1"/>
  <c r="X64" i="1"/>
  <c r="W64" i="1"/>
  <c r="V64" i="1"/>
  <c r="T64" i="1"/>
  <c r="O64" i="1"/>
  <c r="N64" i="1"/>
  <c r="M64" i="1"/>
  <c r="P64" i="1" s="1"/>
  <c r="H64" i="1"/>
  <c r="E64" i="1"/>
  <c r="Y63" i="1"/>
  <c r="X63" i="1"/>
  <c r="W63" i="1"/>
  <c r="V63" i="1"/>
  <c r="U63" i="1"/>
  <c r="T63" i="1"/>
  <c r="O63" i="1"/>
  <c r="N63" i="1"/>
  <c r="P63" i="1" s="1"/>
  <c r="M63" i="1"/>
  <c r="H63" i="1"/>
  <c r="E63" i="1"/>
  <c r="Y62" i="1"/>
  <c r="U62" i="1" s="1"/>
  <c r="X62" i="1"/>
  <c r="W62" i="1"/>
  <c r="V62" i="1"/>
  <c r="T62" i="1"/>
  <c r="O62" i="1"/>
  <c r="N62" i="1"/>
  <c r="M62" i="1"/>
  <c r="P62" i="1" s="1"/>
  <c r="H62" i="1"/>
  <c r="E62" i="1"/>
  <c r="Y61" i="1"/>
  <c r="X61" i="1"/>
  <c r="W61" i="1"/>
  <c r="V61" i="1"/>
  <c r="U61" i="1"/>
  <c r="T61" i="1"/>
  <c r="O61" i="1"/>
  <c r="N61" i="1"/>
  <c r="P61" i="1" s="1"/>
  <c r="M61" i="1"/>
  <c r="H61" i="1"/>
  <c r="E61" i="1"/>
  <c r="Y60" i="1"/>
  <c r="U60" i="1" s="1"/>
  <c r="X60" i="1"/>
  <c r="W60" i="1"/>
  <c r="V60" i="1"/>
  <c r="T60" i="1"/>
  <c r="O60" i="1"/>
  <c r="N60" i="1"/>
  <c r="M60" i="1"/>
  <c r="P60" i="1" s="1"/>
  <c r="H60" i="1"/>
  <c r="E60" i="1"/>
  <c r="Y59" i="1"/>
  <c r="X59" i="1"/>
  <c r="W59" i="1"/>
  <c r="V59" i="1"/>
  <c r="U59" i="1"/>
  <c r="T59" i="1"/>
  <c r="O59" i="1"/>
  <c r="N59" i="1"/>
  <c r="P59" i="1" s="1"/>
  <c r="M59" i="1"/>
  <c r="H59" i="1"/>
  <c r="E59" i="1"/>
  <c r="Y58" i="1"/>
  <c r="U58" i="1" s="1"/>
  <c r="X58" i="1"/>
  <c r="W58" i="1"/>
  <c r="V58" i="1"/>
  <c r="T58" i="1"/>
  <c r="O58" i="1"/>
  <c r="N58" i="1"/>
  <c r="M58" i="1"/>
  <c r="P58" i="1" s="1"/>
  <c r="H58" i="1"/>
  <c r="E58" i="1"/>
  <c r="Y57" i="1"/>
  <c r="X57" i="1"/>
  <c r="W57" i="1"/>
  <c r="V57" i="1"/>
  <c r="U57" i="1"/>
  <c r="T57" i="1"/>
  <c r="O57" i="1"/>
  <c r="N57" i="1"/>
  <c r="P57" i="1" s="1"/>
  <c r="M57" i="1"/>
  <c r="H57" i="1"/>
  <c r="E57" i="1"/>
  <c r="Y56" i="1"/>
  <c r="U56" i="1" s="1"/>
  <c r="X56" i="1"/>
  <c r="W56" i="1"/>
  <c r="V56" i="1"/>
  <c r="T56" i="1"/>
  <c r="O56" i="1"/>
  <c r="N56" i="1"/>
  <c r="M56" i="1"/>
  <c r="P56" i="1" s="1"/>
  <c r="H56" i="1"/>
  <c r="E56" i="1"/>
  <c r="Y55" i="1"/>
  <c r="X55" i="1"/>
  <c r="W55" i="1"/>
  <c r="V55" i="1"/>
  <c r="U55" i="1"/>
  <c r="T55" i="1"/>
  <c r="O55" i="1"/>
  <c r="N55" i="1"/>
  <c r="P55" i="1" s="1"/>
  <c r="M55" i="1"/>
  <c r="H55" i="1"/>
  <c r="E55" i="1"/>
  <c r="Y54" i="1"/>
  <c r="U54" i="1" s="1"/>
  <c r="X54" i="1"/>
  <c r="W54" i="1"/>
  <c r="V54" i="1"/>
  <c r="T54" i="1"/>
  <c r="O54" i="1"/>
  <c r="N54" i="1"/>
  <c r="M54" i="1"/>
  <c r="P54" i="1" s="1"/>
  <c r="H54" i="1"/>
  <c r="E54" i="1"/>
  <c r="Y53" i="1"/>
  <c r="X53" i="1"/>
  <c r="W53" i="1"/>
  <c r="V53" i="1"/>
  <c r="U53" i="1"/>
  <c r="T53" i="1"/>
  <c r="O53" i="1"/>
  <c r="N53" i="1"/>
  <c r="P53" i="1" s="1"/>
  <c r="M53" i="1"/>
  <c r="H53" i="1"/>
  <c r="E53" i="1"/>
  <c r="Y52" i="1"/>
  <c r="U52" i="1" s="1"/>
  <c r="X52" i="1"/>
  <c r="W52" i="1"/>
  <c r="V52" i="1"/>
  <c r="T52" i="1"/>
  <c r="O52" i="1"/>
  <c r="M52" i="1"/>
  <c r="P52" i="1" s="1"/>
  <c r="H52" i="1"/>
  <c r="E52" i="1"/>
  <c r="X51" i="1"/>
  <c r="W51" i="1"/>
  <c r="Y51" i="1" s="1"/>
  <c r="V51" i="1"/>
  <c r="T51" i="1"/>
  <c r="O51" i="1"/>
  <c r="N51" i="1"/>
  <c r="M51" i="1"/>
  <c r="P51" i="1" s="1"/>
  <c r="H51" i="1"/>
  <c r="E51" i="1"/>
  <c r="X50" i="1"/>
  <c r="W50" i="1"/>
  <c r="V50" i="1"/>
  <c r="Y50" i="1" s="1"/>
  <c r="T50" i="1"/>
  <c r="U50" i="1" s="1"/>
  <c r="O50" i="1"/>
  <c r="N50" i="1"/>
  <c r="M50" i="1"/>
  <c r="P50" i="1" s="1"/>
  <c r="H50" i="1"/>
  <c r="E50" i="1"/>
  <c r="X49" i="1"/>
  <c r="W49" i="1"/>
  <c r="Y49" i="1" s="1"/>
  <c r="V49" i="1"/>
  <c r="T49" i="1"/>
  <c r="U49" i="1" s="1"/>
  <c r="O49" i="1"/>
  <c r="N49" i="1"/>
  <c r="M49" i="1"/>
  <c r="P49" i="1" s="1"/>
  <c r="H49" i="1"/>
  <c r="E49" i="1"/>
  <c r="X48" i="1"/>
  <c r="W48" i="1"/>
  <c r="V48" i="1"/>
  <c r="Y48" i="1" s="1"/>
  <c r="T48" i="1"/>
  <c r="U48" i="1" s="1"/>
  <c r="O48" i="1"/>
  <c r="N48" i="1"/>
  <c r="M48" i="1"/>
  <c r="P48" i="1" s="1"/>
  <c r="H48" i="1"/>
  <c r="E48" i="1"/>
  <c r="X47" i="1"/>
  <c r="W47" i="1"/>
  <c r="Y47" i="1" s="1"/>
  <c r="V47" i="1"/>
  <c r="T47" i="1"/>
  <c r="U47" i="1" s="1"/>
  <c r="O47" i="1"/>
  <c r="N47" i="1"/>
  <c r="M47" i="1"/>
  <c r="P47" i="1" s="1"/>
  <c r="H47" i="1"/>
  <c r="E47" i="1"/>
  <c r="X46" i="1"/>
  <c r="W46" i="1"/>
  <c r="V46" i="1"/>
  <c r="Y46" i="1" s="1"/>
  <c r="T46" i="1"/>
  <c r="U46" i="1" s="1"/>
  <c r="O46" i="1"/>
  <c r="N46" i="1"/>
  <c r="M46" i="1"/>
  <c r="P46" i="1" s="1"/>
  <c r="H46" i="1"/>
  <c r="E46" i="1"/>
  <c r="X45" i="1"/>
  <c r="W45" i="1"/>
  <c r="Y45" i="1" s="1"/>
  <c r="V45" i="1"/>
  <c r="T45" i="1"/>
  <c r="O45" i="1"/>
  <c r="N45" i="1"/>
  <c r="M45" i="1"/>
  <c r="P45" i="1" s="1"/>
  <c r="H45" i="1"/>
  <c r="E45" i="1"/>
  <c r="X44" i="1"/>
  <c r="W44" i="1"/>
  <c r="V44" i="1"/>
  <c r="Y44" i="1" s="1"/>
  <c r="T44" i="1"/>
  <c r="O44" i="1"/>
  <c r="N44" i="1"/>
  <c r="M44" i="1"/>
  <c r="P44" i="1" s="1"/>
  <c r="H44" i="1"/>
  <c r="E44" i="1"/>
  <c r="X43" i="1"/>
  <c r="W43" i="1"/>
  <c r="Y43" i="1" s="1"/>
  <c r="V43" i="1"/>
  <c r="T43" i="1"/>
  <c r="O43" i="1"/>
  <c r="N43" i="1"/>
  <c r="M43" i="1"/>
  <c r="P43" i="1" s="1"/>
  <c r="H43" i="1"/>
  <c r="E43" i="1"/>
  <c r="X42" i="1"/>
  <c r="W42" i="1"/>
  <c r="V42" i="1"/>
  <c r="Y42" i="1" s="1"/>
  <c r="T42" i="1"/>
  <c r="U42" i="1" s="1"/>
  <c r="O42" i="1"/>
  <c r="N42" i="1"/>
  <c r="M42" i="1"/>
  <c r="P42" i="1" s="1"/>
  <c r="H42" i="1"/>
  <c r="E42" i="1"/>
  <c r="X41" i="1"/>
  <c r="W41" i="1"/>
  <c r="Y41" i="1" s="1"/>
  <c r="V41" i="1"/>
  <c r="T41" i="1"/>
  <c r="U41" i="1" s="1"/>
  <c r="O41" i="1"/>
  <c r="N41" i="1"/>
  <c r="M41" i="1"/>
  <c r="P41" i="1" s="1"/>
  <c r="H41" i="1"/>
  <c r="E41" i="1"/>
  <c r="X40" i="1"/>
  <c r="W40" i="1"/>
  <c r="V40" i="1"/>
  <c r="Y40" i="1" s="1"/>
  <c r="T40" i="1"/>
  <c r="U40" i="1" s="1"/>
  <c r="O40" i="1"/>
  <c r="N40" i="1"/>
  <c r="M40" i="1"/>
  <c r="P40" i="1" s="1"/>
  <c r="H40" i="1"/>
  <c r="E40" i="1"/>
  <c r="X39" i="1"/>
  <c r="W39" i="1"/>
  <c r="Y39" i="1" s="1"/>
  <c r="V39" i="1"/>
  <c r="T39" i="1"/>
  <c r="U39" i="1" s="1"/>
  <c r="O39" i="1"/>
  <c r="N39" i="1"/>
  <c r="M39" i="1"/>
  <c r="P39" i="1" s="1"/>
  <c r="H39" i="1"/>
  <c r="E39" i="1"/>
  <c r="X38" i="1"/>
  <c r="W38" i="1"/>
  <c r="V38" i="1"/>
  <c r="Y38" i="1" s="1"/>
  <c r="T38" i="1"/>
  <c r="U38" i="1" s="1"/>
  <c r="O38" i="1"/>
  <c r="N38" i="1"/>
  <c r="M38" i="1"/>
  <c r="P38" i="1" s="1"/>
  <c r="H38" i="1"/>
  <c r="E38" i="1"/>
  <c r="X37" i="1"/>
  <c r="W37" i="1"/>
  <c r="Y37" i="1" s="1"/>
  <c r="V37" i="1"/>
  <c r="T37" i="1"/>
  <c r="O37" i="1"/>
  <c r="N37" i="1"/>
  <c r="M37" i="1"/>
  <c r="P37" i="1" s="1"/>
  <c r="H37" i="1"/>
  <c r="E37" i="1"/>
  <c r="X36" i="1"/>
  <c r="W36" i="1"/>
  <c r="V36" i="1"/>
  <c r="Y36" i="1" s="1"/>
  <c r="T36" i="1"/>
  <c r="O36" i="1"/>
  <c r="N36" i="1"/>
  <c r="M36" i="1"/>
  <c r="P36" i="1" s="1"/>
  <c r="H36" i="1"/>
  <c r="E36" i="1"/>
  <c r="X35" i="1"/>
  <c r="W35" i="1"/>
  <c r="Y35" i="1" s="1"/>
  <c r="V35" i="1"/>
  <c r="T35" i="1"/>
  <c r="O35" i="1"/>
  <c r="N35" i="1"/>
  <c r="M35" i="1"/>
  <c r="P35" i="1" s="1"/>
  <c r="H35" i="1"/>
  <c r="E35" i="1"/>
  <c r="X34" i="1"/>
  <c r="W34" i="1"/>
  <c r="V34" i="1"/>
  <c r="Y34" i="1" s="1"/>
  <c r="T34" i="1"/>
  <c r="U34" i="1" s="1"/>
  <c r="O34" i="1"/>
  <c r="N34" i="1"/>
  <c r="M34" i="1"/>
  <c r="P34" i="1" s="1"/>
  <c r="H34" i="1"/>
  <c r="E34" i="1"/>
  <c r="X33" i="1"/>
  <c r="W33" i="1"/>
  <c r="Y33" i="1" s="1"/>
  <c r="V33" i="1"/>
  <c r="T33" i="1"/>
  <c r="U33" i="1" s="1"/>
  <c r="O33" i="1"/>
  <c r="N33" i="1"/>
  <c r="M33" i="1"/>
  <c r="P33" i="1" s="1"/>
  <c r="H33" i="1"/>
  <c r="E33" i="1"/>
  <c r="X32" i="1"/>
  <c r="W32" i="1"/>
  <c r="V32" i="1"/>
  <c r="Y32" i="1" s="1"/>
  <c r="T32" i="1"/>
  <c r="U32" i="1" s="1"/>
  <c r="O32" i="1"/>
  <c r="N32" i="1"/>
  <c r="M32" i="1"/>
  <c r="P32" i="1" s="1"/>
  <c r="H32" i="1"/>
  <c r="E32" i="1"/>
  <c r="X31" i="1"/>
  <c r="W31" i="1"/>
  <c r="V31" i="1"/>
  <c r="Y31" i="1" s="1"/>
  <c r="T31" i="1"/>
  <c r="U31" i="1" s="1"/>
  <c r="O31" i="1"/>
  <c r="N31" i="1"/>
  <c r="M31" i="1"/>
  <c r="P31" i="1" s="1"/>
  <c r="H31" i="1"/>
  <c r="E31" i="1"/>
  <c r="X30" i="1"/>
  <c r="W30" i="1"/>
  <c r="V30" i="1"/>
  <c r="Y30" i="1" s="1"/>
  <c r="T30" i="1"/>
  <c r="U30" i="1" s="1"/>
  <c r="O30" i="1"/>
  <c r="N30" i="1"/>
  <c r="M30" i="1"/>
  <c r="P30" i="1" s="1"/>
  <c r="H30" i="1"/>
  <c r="E30" i="1"/>
  <c r="X29" i="1"/>
  <c r="W29" i="1"/>
  <c r="V29" i="1"/>
  <c r="Y29" i="1" s="1"/>
  <c r="T29" i="1"/>
  <c r="O29" i="1"/>
  <c r="N29" i="1"/>
  <c r="M29" i="1"/>
  <c r="P29" i="1" s="1"/>
  <c r="H29" i="1"/>
  <c r="E29" i="1"/>
  <c r="X28" i="1"/>
  <c r="W28" i="1"/>
  <c r="V28" i="1"/>
  <c r="Y28" i="1" s="1"/>
  <c r="T28" i="1"/>
  <c r="O28" i="1"/>
  <c r="N28" i="1"/>
  <c r="M28" i="1"/>
  <c r="P28" i="1" s="1"/>
  <c r="H28" i="1"/>
  <c r="E28" i="1"/>
  <c r="X27" i="1"/>
  <c r="W27" i="1"/>
  <c r="V27" i="1"/>
  <c r="Y27" i="1" s="1"/>
  <c r="T27" i="1"/>
  <c r="O27" i="1"/>
  <c r="N27" i="1"/>
  <c r="M27" i="1"/>
  <c r="P27" i="1" s="1"/>
  <c r="H27" i="1"/>
  <c r="E27" i="1"/>
  <c r="X26" i="1"/>
  <c r="W26" i="1"/>
  <c r="V26" i="1"/>
  <c r="Y26" i="1" s="1"/>
  <c r="T26" i="1"/>
  <c r="U26" i="1" s="1"/>
  <c r="O26" i="1"/>
  <c r="N26" i="1"/>
  <c r="M26" i="1"/>
  <c r="P26" i="1" s="1"/>
  <c r="H26" i="1"/>
  <c r="E26" i="1"/>
  <c r="X25" i="1"/>
  <c r="W25" i="1"/>
  <c r="V25" i="1"/>
  <c r="Y25" i="1" s="1"/>
  <c r="T25" i="1"/>
  <c r="U25" i="1" s="1"/>
  <c r="O25" i="1"/>
  <c r="N25" i="1"/>
  <c r="M25" i="1"/>
  <c r="P25" i="1" s="1"/>
  <c r="H25" i="1"/>
  <c r="E25" i="1"/>
  <c r="X24" i="1"/>
  <c r="W24" i="1"/>
  <c r="V24" i="1"/>
  <c r="Y24" i="1" s="1"/>
  <c r="T24" i="1"/>
  <c r="U24" i="1" s="1"/>
  <c r="O24" i="1"/>
  <c r="N24" i="1"/>
  <c r="M24" i="1"/>
  <c r="P24" i="1" s="1"/>
  <c r="H24" i="1"/>
  <c r="E24" i="1"/>
  <c r="X23" i="1"/>
  <c r="W23" i="1"/>
  <c r="V23" i="1"/>
  <c r="Y23" i="1" s="1"/>
  <c r="T23" i="1"/>
  <c r="U23" i="1" s="1"/>
  <c r="O23" i="1"/>
  <c r="N23" i="1"/>
  <c r="M23" i="1"/>
  <c r="P23" i="1" s="1"/>
  <c r="H23" i="1"/>
  <c r="E23" i="1"/>
  <c r="X22" i="1"/>
  <c r="W22" i="1"/>
  <c r="V22" i="1"/>
  <c r="Y22" i="1" s="1"/>
  <c r="T22" i="1"/>
  <c r="U22" i="1" s="1"/>
  <c r="O22" i="1"/>
  <c r="N22" i="1"/>
  <c r="M22" i="1"/>
  <c r="P22" i="1" s="1"/>
  <c r="H22" i="1"/>
  <c r="E22" i="1"/>
  <c r="X21" i="1"/>
  <c r="W21" i="1"/>
  <c r="V21" i="1"/>
  <c r="Y21" i="1" s="1"/>
  <c r="T21" i="1"/>
  <c r="O21" i="1"/>
  <c r="N21" i="1"/>
  <c r="M21" i="1"/>
  <c r="P21" i="1" s="1"/>
  <c r="H21" i="1"/>
  <c r="E21" i="1"/>
  <c r="X20" i="1"/>
  <c r="W20" i="1"/>
  <c r="V20" i="1"/>
  <c r="Y20" i="1" s="1"/>
  <c r="T20" i="1"/>
  <c r="O20" i="1"/>
  <c r="N20" i="1"/>
  <c r="M20" i="1"/>
  <c r="P20" i="1" s="1"/>
  <c r="H20" i="1"/>
  <c r="E20" i="1"/>
  <c r="X19" i="1"/>
  <c r="W19" i="1"/>
  <c r="V19" i="1"/>
  <c r="Y19" i="1" s="1"/>
  <c r="T19" i="1"/>
  <c r="O19" i="1"/>
  <c r="N19" i="1"/>
  <c r="M19" i="1"/>
  <c r="P19" i="1" s="1"/>
  <c r="H19" i="1"/>
  <c r="E19" i="1"/>
  <c r="X18" i="1"/>
  <c r="W18" i="1"/>
  <c r="V18" i="1"/>
  <c r="Y18" i="1" s="1"/>
  <c r="T18" i="1"/>
  <c r="U18" i="1" s="1"/>
  <c r="O18" i="1"/>
  <c r="N18" i="1"/>
  <c r="M18" i="1"/>
  <c r="P18" i="1" s="1"/>
  <c r="H18" i="1"/>
  <c r="E18" i="1"/>
  <c r="X17" i="1"/>
  <c r="W17" i="1"/>
  <c r="V17" i="1"/>
  <c r="Y17" i="1" s="1"/>
  <c r="T17" i="1"/>
  <c r="U17" i="1" s="1"/>
  <c r="O17" i="1"/>
  <c r="N17" i="1"/>
  <c r="M17" i="1"/>
  <c r="P17" i="1" s="1"/>
  <c r="H17" i="1"/>
  <c r="E17" i="1"/>
  <c r="X16" i="1"/>
  <c r="W16" i="1"/>
  <c r="V16" i="1"/>
  <c r="Y16" i="1" s="1"/>
  <c r="T16" i="1"/>
  <c r="U16" i="1" s="1"/>
  <c r="O16" i="1"/>
  <c r="N16" i="1"/>
  <c r="M16" i="1"/>
  <c r="P16" i="1" s="1"/>
  <c r="H16" i="1"/>
  <c r="E16" i="1"/>
  <c r="X15" i="1"/>
  <c r="W15" i="1"/>
  <c r="V15" i="1"/>
  <c r="Y15" i="1" s="1"/>
  <c r="T15" i="1"/>
  <c r="U15" i="1" s="1"/>
  <c r="O15" i="1"/>
  <c r="P15" i="1" s="1"/>
  <c r="N15" i="1"/>
  <c r="M15" i="1"/>
  <c r="H15" i="1"/>
  <c r="E15" i="1"/>
  <c r="X14" i="1"/>
  <c r="W14" i="1"/>
  <c r="V14" i="1"/>
  <c r="Y14" i="1" s="1"/>
  <c r="T14" i="1"/>
  <c r="U14" i="1" s="1"/>
  <c r="O14" i="1"/>
  <c r="N14" i="1"/>
  <c r="M14" i="1"/>
  <c r="P14" i="1" s="1"/>
  <c r="H14" i="1"/>
  <c r="E14" i="1"/>
  <c r="X13" i="1"/>
  <c r="W13" i="1"/>
  <c r="V13" i="1"/>
  <c r="Y13" i="1" s="1"/>
  <c r="T13" i="1"/>
  <c r="O13" i="1"/>
  <c r="P13" i="1" s="1"/>
  <c r="N13" i="1"/>
  <c r="M13" i="1"/>
  <c r="H13" i="1"/>
  <c r="E13" i="1"/>
  <c r="X12" i="1"/>
  <c r="W12" i="1"/>
  <c r="V12" i="1"/>
  <c r="Y12" i="1" s="1"/>
  <c r="T12" i="1"/>
  <c r="O12" i="1"/>
  <c r="N12" i="1"/>
  <c r="M12" i="1"/>
  <c r="P12" i="1" s="1"/>
  <c r="H12" i="1"/>
  <c r="E12" i="1"/>
  <c r="X11" i="1"/>
  <c r="W11" i="1"/>
  <c r="V11" i="1"/>
  <c r="Y11" i="1" s="1"/>
  <c r="T11" i="1"/>
  <c r="U11" i="1" s="1"/>
  <c r="O11" i="1"/>
  <c r="P11" i="1" s="1"/>
  <c r="N11" i="1"/>
  <c r="M11" i="1"/>
  <c r="H11" i="1"/>
  <c r="E11" i="1"/>
  <c r="X10" i="1"/>
  <c r="W10" i="1"/>
  <c r="V10" i="1"/>
  <c r="Y10" i="1" s="1"/>
  <c r="T10" i="1"/>
  <c r="U10" i="1" s="1"/>
  <c r="O10" i="1"/>
  <c r="N10" i="1"/>
  <c r="M10" i="1"/>
  <c r="P10" i="1" s="1"/>
  <c r="H10" i="1"/>
  <c r="E10" i="1"/>
  <c r="X9" i="1"/>
  <c r="W9" i="1"/>
  <c r="V9" i="1"/>
  <c r="Y9" i="1" s="1"/>
  <c r="T9" i="1"/>
  <c r="U9" i="1" s="1"/>
  <c r="O9" i="1"/>
  <c r="P9" i="1" s="1"/>
  <c r="N9" i="1"/>
  <c r="M9" i="1"/>
  <c r="H9" i="1"/>
  <c r="E9" i="1"/>
  <c r="X8" i="1"/>
  <c r="W8" i="1"/>
  <c r="V8" i="1"/>
  <c r="Y8" i="1" s="1"/>
  <c r="T8" i="1"/>
  <c r="U8" i="1" s="1"/>
  <c r="O8" i="1"/>
  <c r="N8" i="1"/>
  <c r="M8" i="1"/>
  <c r="P8" i="1" s="1"/>
  <c r="H8" i="1"/>
  <c r="E8" i="1"/>
  <c r="X7" i="1"/>
  <c r="W7" i="1"/>
  <c r="V7" i="1"/>
  <c r="Y7" i="1" s="1"/>
  <c r="T7" i="1"/>
  <c r="U7" i="1" s="1"/>
  <c r="O7" i="1"/>
  <c r="P7" i="1" s="1"/>
  <c r="N7" i="1"/>
  <c r="M7" i="1"/>
  <c r="H7" i="1"/>
  <c r="E7" i="1"/>
  <c r="X6" i="1"/>
  <c r="W6" i="1"/>
  <c r="V6" i="1"/>
  <c r="Y6" i="1" s="1"/>
  <c r="T6" i="1"/>
  <c r="U6" i="1" s="1"/>
  <c r="O6" i="1"/>
  <c r="N6" i="1"/>
  <c r="M6" i="1"/>
  <c r="P6" i="1" s="1"/>
  <c r="H6" i="1"/>
  <c r="E6" i="1"/>
  <c r="X5" i="1"/>
  <c r="W5" i="1"/>
  <c r="V5" i="1"/>
  <c r="Y5" i="1" s="1"/>
  <c r="T5" i="1"/>
  <c r="O5" i="1"/>
  <c r="P5" i="1" s="1"/>
  <c r="N5" i="1"/>
  <c r="M5" i="1"/>
  <c r="H5" i="1"/>
  <c r="E5" i="1"/>
  <c r="X4" i="1"/>
  <c r="W4" i="1"/>
  <c r="V4" i="1"/>
  <c r="Y4" i="1" s="1"/>
  <c r="T4" i="1"/>
  <c r="O4" i="1"/>
  <c r="N4" i="1"/>
  <c r="M4" i="1"/>
  <c r="P4" i="1" s="1"/>
  <c r="H4" i="1"/>
  <c r="E4" i="1"/>
  <c r="X3" i="1"/>
  <c r="W3" i="1"/>
  <c r="V3" i="1"/>
  <c r="Y3" i="1" s="1"/>
  <c r="T3" i="1"/>
  <c r="U3" i="1" s="1"/>
  <c r="O3" i="1"/>
  <c r="P3" i="1" s="1"/>
  <c r="N3" i="1"/>
  <c r="M3" i="1"/>
  <c r="H3" i="1"/>
  <c r="E3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U120" i="1" l="1"/>
  <c r="U19" i="1"/>
  <c r="U27" i="1"/>
  <c r="U35" i="1"/>
  <c r="U43" i="1"/>
  <c r="U51" i="1"/>
  <c r="U76" i="1"/>
  <c r="U80" i="1"/>
  <c r="U84" i="1"/>
  <c r="U88" i="1"/>
  <c r="U92" i="1"/>
  <c r="U96" i="1"/>
  <c r="U4" i="1"/>
  <c r="U12" i="1"/>
  <c r="U20" i="1"/>
  <c r="U28" i="1"/>
  <c r="U36" i="1"/>
  <c r="U44" i="1"/>
  <c r="U117" i="1"/>
  <c r="U5" i="1"/>
  <c r="U13" i="1"/>
  <c r="U21" i="1"/>
  <c r="U29" i="1"/>
  <c r="U37" i="1"/>
  <c r="U45" i="1"/>
</calcChain>
</file>

<file path=xl/sharedStrings.xml><?xml version="1.0" encoding="utf-8"?>
<sst xmlns="http://schemas.openxmlformats.org/spreadsheetml/2006/main" count="958" uniqueCount="542">
  <si>
    <t>NO</t>
  </si>
  <si>
    <t>IDENTITAS GURU</t>
  </si>
  <si>
    <t>STRUKTUR</t>
  </si>
  <si>
    <t>JAM PER TINGKAT</t>
  </si>
  <si>
    <t>JAM MENGAJAR PER TINGKAT</t>
  </si>
  <si>
    <t>CEK</t>
  </si>
  <si>
    <t>PETA KELAS PER TINGKAT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</si>
  <si>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</si>
  <si>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</si>
  <si>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</si>
  <si>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</si>
  <si>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</si>
  <si>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</si>
  <si>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</si>
  <si>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</si>
  <si>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</si>
  <si>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</si>
  <si>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</si>
  <si>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</si>
  <si>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</si>
  <si>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</si>
  <si>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</si>
  <si>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</si>
  <si>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</si>
  <si>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</si>
  <si>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</si>
  <si>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</si>
  <si>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</si>
  <si>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</si>
  <si>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</si>
  <si>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</si>
  <si>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</si>
  <si>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</si>
  <si>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</si>
  <si>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</si>
  <si>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</si>
  <si>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</si>
  <si>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</si>
  <si>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</si>
  <si>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</si>
  <si>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</si>
  <si>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</si>
  <si>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</si>
  <si>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TUGAS TAMBAHAN</t>
  </si>
  <si>
    <t>JAM MENGAJAR</t>
  </si>
  <si>
    <t>URUT</t>
  </si>
  <si>
    <t>KODE</t>
  </si>
  <si>
    <t>NAMA</t>
  </si>
  <si>
    <t>NIP/NIPPPK</t>
  </si>
  <si>
    <t>STATUS</t>
  </si>
  <si>
    <t>MATA PELAJARAN YANG DIAMPU</t>
  </si>
  <si>
    <t>MAPEL YANG DIAMPU</t>
  </si>
  <si>
    <t>NO. HP</t>
  </si>
  <si>
    <t>X</t>
  </si>
  <si>
    <t>XI</t>
  </si>
  <si>
    <t>XII</t>
  </si>
  <si>
    <t>JML</t>
  </si>
  <si>
    <t>WAKA/KEPALA/BENDAHARA</t>
  </si>
  <si>
    <t>WALAS</t>
  </si>
  <si>
    <t>STAFF</t>
  </si>
  <si>
    <t>PEMBINA</t>
  </si>
  <si>
    <t>LAIN-LAIN</t>
  </si>
  <si>
    <t>TOTAL</t>
  </si>
  <si>
    <t>KELEBIHAN JAM</t>
  </si>
  <si>
    <t>001</t>
  </si>
  <si>
    <t>A 01</t>
  </si>
  <si>
    <t>JULAEHA, S.Pd.I.</t>
  </si>
  <si>
    <t>PPPK</t>
  </si>
  <si>
    <t>PENDIDIKAN AGAMA DAN BUDI PEKERTI</t>
  </si>
  <si>
    <t>081322335883</t>
  </si>
  <si>
    <t>WALI KELAS XII TKJ 1</t>
  </si>
  <si>
    <t>002</t>
  </si>
  <si>
    <t>A 02</t>
  </si>
  <si>
    <t>RIJAL AHMAD RAMDLANI, S.Pd.I.</t>
  </si>
  <si>
    <t>083123939439</t>
  </si>
  <si>
    <t>WAKASEK KESISWAAN</t>
  </si>
  <si>
    <t>003</t>
  </si>
  <si>
    <t>A 03</t>
  </si>
  <si>
    <t>SRI TIKNOWATI, S.Pd.</t>
  </si>
  <si>
    <t>082119423707</t>
  </si>
  <si>
    <t>WALI KELAS XII TKR 1</t>
  </si>
  <si>
    <t>PEMBINA IRMA</t>
  </si>
  <si>
    <t>004</t>
  </si>
  <si>
    <t>B 01</t>
  </si>
  <si>
    <t>R. DEWI FATIMAH, S.Pd.</t>
  </si>
  <si>
    <t>PENDIDIKAN PANCASILA</t>
  </si>
  <si>
    <t>081398156739</t>
  </si>
  <si>
    <t>WALI KELAS XII DKV 2</t>
  </si>
  <si>
    <t>PEMBINA OSIS</t>
  </si>
  <si>
    <t>005</t>
  </si>
  <si>
    <t>C 04</t>
  </si>
  <si>
    <t>BAHASA INDONESIA</t>
  </si>
  <si>
    <t>006</t>
  </si>
  <si>
    <t>B 02</t>
  </si>
  <si>
    <t>BENI SUTEJA, S.Pd.</t>
  </si>
  <si>
    <t>089648990345</t>
  </si>
  <si>
    <t>WALI KELAS XI TKJ 1</t>
  </si>
  <si>
    <t>007</t>
  </si>
  <si>
    <t>B 03</t>
  </si>
  <si>
    <t>SHINTA ANNISA, S.Pd.</t>
  </si>
  <si>
    <t>PPPK PW</t>
  </si>
  <si>
    <t>082116587772</t>
  </si>
  <si>
    <t>WALI KELAS XI TKR 1</t>
  </si>
  <si>
    <t>008</t>
  </si>
  <si>
    <t>E 02</t>
  </si>
  <si>
    <t>SEJARAH</t>
  </si>
  <si>
    <t>009</t>
  </si>
  <si>
    <t>C 01</t>
  </si>
  <si>
    <t>CICAH CUTICAH, S.Pd.</t>
  </si>
  <si>
    <t>081318479854</t>
  </si>
  <si>
    <t>WALI KELAS XI TKJ 3</t>
  </si>
  <si>
    <t>010</t>
  </si>
  <si>
    <t>C 02</t>
  </si>
  <si>
    <t>MOHAMAD ZAYYAN ABDUROHMAN, S.Pd.</t>
  </si>
  <si>
    <t>081395711616</t>
  </si>
  <si>
    <t>WALI KELAS XII TKJ 2</t>
  </si>
  <si>
    <t>STAFF SARPRAS</t>
  </si>
  <si>
    <t>011</t>
  </si>
  <si>
    <t>S 04</t>
  </si>
  <si>
    <t>BIMBINGAN PENYULUHAN/BIMBINGAN KONSELING</t>
  </si>
  <si>
    <t>012</t>
  </si>
  <si>
    <t>C 03</t>
  </si>
  <si>
    <t>REZQY MUHAMMAD NUR ALAM, S.Pd.</t>
  </si>
  <si>
    <t>082118285401</t>
  </si>
  <si>
    <t>WALI KELAS XI TKR 2</t>
  </si>
  <si>
    <t>STAFF KESISWAAN</t>
  </si>
  <si>
    <t>013</t>
  </si>
  <si>
    <t>H 03</t>
  </si>
  <si>
    <t>PENDIDIKAN JASMANI, OLAH RAGA, DAN KESEHATAN</t>
  </si>
  <si>
    <t>014</t>
  </si>
  <si>
    <t>OC03</t>
  </si>
  <si>
    <t>OLAHRAGA</t>
  </si>
  <si>
    <t>015</t>
  </si>
  <si>
    <t>TA01</t>
  </si>
  <si>
    <t>NURLAELA YULIANTI, S.Pd.</t>
  </si>
  <si>
    <t>PNS</t>
  </si>
  <si>
    <t>MATEMATIKA TINGKAT LANJUT</t>
  </si>
  <si>
    <t>08562087589</t>
  </si>
  <si>
    <t>WAKASEK KURIKULUM</t>
  </si>
  <si>
    <t>016</t>
  </si>
  <si>
    <t>PD01</t>
  </si>
  <si>
    <t>PENGELOLAAN KEUANGAN SEDERHANA</t>
  </si>
  <si>
    <t>017</t>
  </si>
  <si>
    <t>D 02</t>
  </si>
  <si>
    <t>SOPPA SOPIA NURCAHYANI, S.Pd.</t>
  </si>
  <si>
    <t>MATEMATIKA</t>
  </si>
  <si>
    <t>085294890722</t>
  </si>
  <si>
    <t>WALI KELAS XII TKJ 3</t>
  </si>
  <si>
    <t>018</t>
  </si>
  <si>
    <t>TA02</t>
  </si>
  <si>
    <t>019</t>
  </si>
  <si>
    <t>S 02</t>
  </si>
  <si>
    <t>020</t>
  </si>
  <si>
    <t>D 03</t>
  </si>
  <si>
    <t>YAYU RAHAYU, S.P.</t>
  </si>
  <si>
    <t>081394491995</t>
  </si>
  <si>
    <t>WALI KELAS XII DKV 3</t>
  </si>
  <si>
    <t>TIM MEDSOS</t>
  </si>
  <si>
    <t>021</t>
  </si>
  <si>
    <t>S 03</t>
  </si>
  <si>
    <t>022</t>
  </si>
  <si>
    <t>D 04</t>
  </si>
  <si>
    <t>AGUS SOBARUDIN, S.Pd.</t>
  </si>
  <si>
    <t>085223010207</t>
  </si>
  <si>
    <t>WALI KELAS XI TKJ 2</t>
  </si>
  <si>
    <t>023</t>
  </si>
  <si>
    <t>TA03</t>
  </si>
  <si>
    <t>024</t>
  </si>
  <si>
    <t>S 06</t>
  </si>
  <si>
    <t>025</t>
  </si>
  <si>
    <t>D 05</t>
  </si>
  <si>
    <t>AHMAD NURUL KODRI, S.Pd.</t>
  </si>
  <si>
    <t>085222205979</t>
  </si>
  <si>
    <t>WALI KELAS XII TKR 2</t>
  </si>
  <si>
    <t>STAFF KURIKULUM</t>
  </si>
  <si>
    <t>026</t>
  </si>
  <si>
    <t>TA04</t>
  </si>
  <si>
    <t>027</t>
  </si>
  <si>
    <t>OB06</t>
  </si>
  <si>
    <t>PENDIDIKAN LINGKUNGAN HIDUP</t>
  </si>
  <si>
    <t>028</t>
  </si>
  <si>
    <t>D 06</t>
  </si>
  <si>
    <t>ESA NURUL ASHRI, S.Pd.</t>
  </si>
  <si>
    <t>082240088803</t>
  </si>
  <si>
    <t>WALI KELAS X DKV 3</t>
  </si>
  <si>
    <t>029</t>
  </si>
  <si>
    <t>S 07</t>
  </si>
  <si>
    <t>030</t>
  </si>
  <si>
    <t>D 07</t>
  </si>
  <si>
    <t>LIA MARIA ULPA, S.Pd.</t>
  </si>
  <si>
    <t>085715406945</t>
  </si>
  <si>
    <t>WALI KELAS X TKR 4</t>
  </si>
  <si>
    <t>031</t>
  </si>
  <si>
    <t>OB04</t>
  </si>
  <si>
    <t>032</t>
  </si>
  <si>
    <t>E 01</t>
  </si>
  <si>
    <t>KUJANG ARIFIN, S.Pd., M.Pd.</t>
  </si>
  <si>
    <t>085846235465</t>
  </si>
  <si>
    <t>BENDAHARA BOS</t>
  </si>
  <si>
    <t>033</t>
  </si>
  <si>
    <t>F 01</t>
  </si>
  <si>
    <t>LINA LESTA SHOFA, S.Pd.</t>
  </si>
  <si>
    <t>BAHASA INGGRIS</t>
  </si>
  <si>
    <t>082219008891</t>
  </si>
  <si>
    <t>BENDAHARA GAJI</t>
  </si>
  <si>
    <t>WALI KELAS X TKJ 3</t>
  </si>
  <si>
    <t>PEMBINA GUDEP</t>
  </si>
  <si>
    <t>034</t>
  </si>
  <si>
    <t>F 02</t>
  </si>
  <si>
    <t>ENUNG FITRYANI, S.Pd.</t>
  </si>
  <si>
    <t>082214553176</t>
  </si>
  <si>
    <t>WALI KELAS X TKJ 4</t>
  </si>
  <si>
    <t>035</t>
  </si>
  <si>
    <t>F 03</t>
  </si>
  <si>
    <t>MAYA SITI UMAYAH, S.Pd.</t>
  </si>
  <si>
    <t>082121836661</t>
  </si>
  <si>
    <t>WALI KELAS XII DKV 1</t>
  </si>
  <si>
    <t>PEMBINA PMR</t>
  </si>
  <si>
    <t>036</t>
  </si>
  <si>
    <t>F 04</t>
  </si>
  <si>
    <t>YANTI YULIANTI, S.Pd.</t>
  </si>
  <si>
    <t>089622887871</t>
  </si>
  <si>
    <t>WALI KELAS X DKV 2</t>
  </si>
  <si>
    <t>STAFF PERPUSTAKAAN</t>
  </si>
  <si>
    <t>037</t>
  </si>
  <si>
    <t>G 01</t>
  </si>
  <si>
    <t>APUD SAEPUDIN, S.Sn.</t>
  </si>
  <si>
    <t>SENI DAN BUDAYA</t>
  </si>
  <si>
    <t>0895359507914</t>
  </si>
  <si>
    <t>WALI KELAS X MP 1</t>
  </si>
  <si>
    <t>PEMBINA KESENIAN</t>
  </si>
  <si>
    <t>038</t>
  </si>
  <si>
    <t>OB01</t>
  </si>
  <si>
    <t>039</t>
  </si>
  <si>
    <t>H 01</t>
  </si>
  <si>
    <t>MERIYANTI NURSIFA, S.Pd.</t>
  </si>
  <si>
    <t>08988550633</t>
  </si>
  <si>
    <t>WALI KELAS XII MP 1</t>
  </si>
  <si>
    <t>PEMBINA VOLI</t>
  </si>
  <si>
    <t>040</t>
  </si>
  <si>
    <t>OC01</t>
  </si>
  <si>
    <t>041</t>
  </si>
  <si>
    <t>H 02</t>
  </si>
  <si>
    <t>ALFIAN RIZKY MAULANA, S.Pd.</t>
  </si>
  <si>
    <t>085222075123</t>
  </si>
  <si>
    <t>WALI KELAS XII TKR 3</t>
  </si>
  <si>
    <t>PEMBINA FUTSAL</t>
  </si>
  <si>
    <t>042</t>
  </si>
  <si>
    <t>OC02</t>
  </si>
  <si>
    <t>043</t>
  </si>
  <si>
    <t>I 01</t>
  </si>
  <si>
    <t>LUKMANUL HAKIM, S.T.</t>
  </si>
  <si>
    <t>INFORMATIKA</t>
  </si>
  <si>
    <t>081223128628</t>
  </si>
  <si>
    <t>WALI KELAS X DKV 1</t>
  </si>
  <si>
    <t>STAFF HUBINMAS</t>
  </si>
  <si>
    <t>044</t>
  </si>
  <si>
    <t>N 01</t>
  </si>
  <si>
    <t>PUTRI FEBRIANA RENGGANIS, S.Pd.</t>
  </si>
  <si>
    <t>PROYEK ILMU PENGETAHUAN ALAM DAN SOSIAL</t>
  </si>
  <si>
    <t>082126050606</t>
  </si>
  <si>
    <t>WALI KELAS XII MP 2</t>
  </si>
  <si>
    <t>045</t>
  </si>
  <si>
    <t>N 02</t>
  </si>
  <si>
    <t>SUPRIATNA, M.Pd.</t>
  </si>
  <si>
    <t>081221075502</t>
  </si>
  <si>
    <t>KEPALA PERPUSTAKAAN</t>
  </si>
  <si>
    <t>046</t>
  </si>
  <si>
    <t>N 03</t>
  </si>
  <si>
    <t>YENI SITI FITRIANI, S.Pd.</t>
  </si>
  <si>
    <t>082120220827</t>
  </si>
  <si>
    <t>WALI KELAS X DKV 4</t>
  </si>
  <si>
    <t>047</t>
  </si>
  <si>
    <t>OB05</t>
  </si>
  <si>
    <t>048</t>
  </si>
  <si>
    <t>LD02</t>
  </si>
  <si>
    <t>KREATIVITAS, INOVASI, DAN KEWIRAUSAHAAN MP</t>
  </si>
  <si>
    <t>049</t>
  </si>
  <si>
    <t>OA01</t>
  </si>
  <si>
    <t>RISKA NAFISAH, S.E.</t>
  </si>
  <si>
    <t>BAHASA SUNDA</t>
  </si>
  <si>
    <t>082116902330</t>
  </si>
  <si>
    <t>WALI KELAS X MP 2</t>
  </si>
  <si>
    <t>050</t>
  </si>
  <si>
    <t>OB02</t>
  </si>
  <si>
    <t>051</t>
  </si>
  <si>
    <t>S 01</t>
  </si>
  <si>
    <t>WAHYUNI PERMATASARI, S.Psi.</t>
  </si>
  <si>
    <t>GTT</t>
  </si>
  <si>
    <t>089633296777</t>
  </si>
  <si>
    <t>KOORDINATOR BP/BK</t>
  </si>
  <si>
    <t>052</t>
  </si>
  <si>
    <t>RD01</t>
  </si>
  <si>
    <t>FAIZAL ABDI, S.Pd., M.Pd.</t>
  </si>
  <si>
    <t>GAMBAR TEKNIK</t>
  </si>
  <si>
    <t>081222251633</t>
  </si>
  <si>
    <t>WAKASEK PERENCANAAN DAN BINA PROGRAM</t>
  </si>
  <si>
    <t>053</t>
  </si>
  <si>
    <t>RI01</t>
  </si>
  <si>
    <t>PEMELIHARAAN SASIS DAN PEMINDAH TENAGA KENDARAAN RINGAN</t>
  </si>
  <si>
    <t>054</t>
  </si>
  <si>
    <t>RL01</t>
  </si>
  <si>
    <t>PENGUATAN KOMPETENSI KEAHLIAN</t>
  </si>
  <si>
    <t>055</t>
  </si>
  <si>
    <t>RE01</t>
  </si>
  <si>
    <t>AKON MAULANA, S.Pd.</t>
  </si>
  <si>
    <t>WAWASAN DAN BISNIS OTOMOTIF</t>
  </si>
  <si>
    <t>085322133375</t>
  </si>
  <si>
    <t>KEPALA LSP-P1</t>
  </si>
  <si>
    <t>WALI KELAS X TKR 3</t>
  </si>
  <si>
    <t>056</t>
  </si>
  <si>
    <t>RF01</t>
  </si>
  <si>
    <t>MANAJEMEN BENGKEL</t>
  </si>
  <si>
    <t>057</t>
  </si>
  <si>
    <t>LA01</t>
  </si>
  <si>
    <t>KREATIVITAS, INOVASI, DAN KEWIRAUSAHAAN TKR</t>
  </si>
  <si>
    <t>058</t>
  </si>
  <si>
    <t>RJ03</t>
  </si>
  <si>
    <t>PERAWATAN BERKALA KENDARAAN RINGAN</t>
  </si>
  <si>
    <t>087734149248</t>
  </si>
  <si>
    <t>059</t>
  </si>
  <si>
    <t>RH01</t>
  </si>
  <si>
    <t>ULPI SANUSI, S.Pd.</t>
  </si>
  <si>
    <t>PEMELIHARAAN MESIN KENDARAAN RINGAN</t>
  </si>
  <si>
    <t>KAPROG TKR</t>
  </si>
  <si>
    <t>060</t>
  </si>
  <si>
    <t>RJ01</t>
  </si>
  <si>
    <t>061</t>
  </si>
  <si>
    <t>RK01</t>
  </si>
  <si>
    <t>PEMELIHARAAN SISTEM PENGAMAN DAN EMS</t>
  </si>
  <si>
    <t>062</t>
  </si>
  <si>
    <t>RA01</t>
  </si>
  <si>
    <t>RIKI KARISMA, S.Pd.</t>
  </si>
  <si>
    <t>ALAT UKUR DAN PERALATAN BENGKEL</t>
  </si>
  <si>
    <t>081380221927</t>
  </si>
  <si>
    <t>WALI KELAS X TKR 1</t>
  </si>
  <si>
    <t>063</t>
  </si>
  <si>
    <t>RI02</t>
  </si>
  <si>
    <t>064</t>
  </si>
  <si>
    <t>C 05</t>
  </si>
  <si>
    <t>065</t>
  </si>
  <si>
    <t>RC01</t>
  </si>
  <si>
    <t>SARAH ADHITIA RAHAYU, A.Md.</t>
  </si>
  <si>
    <t>DASAR SISTEM DAN ELEKTRONIKA</t>
  </si>
  <si>
    <t>082240846738</t>
  </si>
  <si>
    <t>WALI KELAS X TKR 2</t>
  </si>
  <si>
    <t>STAFF BKK</t>
  </si>
  <si>
    <t>066</t>
  </si>
  <si>
    <t>RJ02</t>
  </si>
  <si>
    <t>067</t>
  </si>
  <si>
    <t>RG01</t>
  </si>
  <si>
    <t>PEMELIHARAAN KELISTRIKAN KENDARAAN RINGAN</t>
  </si>
  <si>
    <t>068</t>
  </si>
  <si>
    <t>RB01</t>
  </si>
  <si>
    <t>ABDUL HIDIR, S.T.</t>
  </si>
  <si>
    <t>DASAR PERAWATAN DAN K3LH</t>
  </si>
  <si>
    <t>08997846844</t>
  </si>
  <si>
    <t>WALI KELAS XI TKR 3</t>
  </si>
  <si>
    <t>KABENG TKR</t>
  </si>
  <si>
    <t>069</t>
  </si>
  <si>
    <t>RG02</t>
  </si>
  <si>
    <t>070</t>
  </si>
  <si>
    <t>RF02</t>
  </si>
  <si>
    <t>071</t>
  </si>
  <si>
    <t>LA02</t>
  </si>
  <si>
    <t>EDWIN HUTAGALUNG, S.Kom.</t>
  </si>
  <si>
    <t>198410022025211099</t>
  </si>
  <si>
    <t>082247772407</t>
  </si>
  <si>
    <t>072</t>
  </si>
  <si>
    <t>OB03</t>
  </si>
  <si>
    <t>073</t>
  </si>
  <si>
    <t>JD01</t>
  </si>
  <si>
    <t>UDEN HASAN J., S.Kom., M.Pd.</t>
  </si>
  <si>
    <t>KOMPUTER DAN JARINGAN DASAR</t>
  </si>
  <si>
    <t>081220116695</t>
  </si>
  <si>
    <t>WAKASEK SARANA PRASARANA</t>
  </si>
  <si>
    <t>074</t>
  </si>
  <si>
    <t>JJ01</t>
  </si>
  <si>
    <t>TEKNOLOGI LAYANAN JARINGAN</t>
  </si>
  <si>
    <t>075</t>
  </si>
  <si>
    <t>LB01</t>
  </si>
  <si>
    <t>KREATIVITAS, INOVASI, DAN KEWIRAUSAHAAN TKJ</t>
  </si>
  <si>
    <t>076</t>
  </si>
  <si>
    <t>I 04</t>
  </si>
  <si>
    <t>077</t>
  </si>
  <si>
    <t>JE01</t>
  </si>
  <si>
    <t>ASEP HIDAYAT RAMDANI, S.T.</t>
  </si>
  <si>
    <t>SIMULASI DAN KOMUNIKASI DIGITAL</t>
  </si>
  <si>
    <t>082126574516</t>
  </si>
  <si>
    <t>KEPALA BKK</t>
  </si>
  <si>
    <t>078</t>
  </si>
  <si>
    <t>JI01</t>
  </si>
  <si>
    <t>PEMROGRAMAN DASAR</t>
  </si>
  <si>
    <t>079</t>
  </si>
  <si>
    <t>JN01</t>
  </si>
  <si>
    <t>PEMROGRAMAN WEB</t>
  </si>
  <si>
    <t>080</t>
  </si>
  <si>
    <t>MC05</t>
  </si>
  <si>
    <t>MAPEL KONSENTRASI KEAHLIAN DKV KELAS XII</t>
  </si>
  <si>
    <t>081</t>
  </si>
  <si>
    <t>JA01</t>
  </si>
  <si>
    <t>AHMAD RAFIQ, S.E., S.Pd.</t>
  </si>
  <si>
    <t>ARSITEKTUR KOMPUTER</t>
  </si>
  <si>
    <t>082214844585</t>
  </si>
  <si>
    <t>OPERATOR BOS</t>
  </si>
  <si>
    <t>082</t>
  </si>
  <si>
    <t>JJ02</t>
  </si>
  <si>
    <t>083</t>
  </si>
  <si>
    <t>JL01</t>
  </si>
  <si>
    <t>ADMINSTRASI SISTEM JARINGAN</t>
  </si>
  <si>
    <t>084</t>
  </si>
  <si>
    <t>JF01</t>
  </si>
  <si>
    <t>YAYAN SITI NURJANAH, S.Pd.</t>
  </si>
  <si>
    <t>SISTEM OPERASI DAN APLIKASI</t>
  </si>
  <si>
    <t>081395664170</t>
  </si>
  <si>
    <t>WALI KELAS X TKJ 2</t>
  </si>
  <si>
    <t>085</t>
  </si>
  <si>
    <t>JG01</t>
  </si>
  <si>
    <t>ADMINISTRASI INFRATUKTUR JARINGAN</t>
  </si>
  <si>
    <t>086</t>
  </si>
  <si>
    <t>I 05</t>
  </si>
  <si>
    <t>087</t>
  </si>
  <si>
    <t>JB01</t>
  </si>
  <si>
    <t>YANA CAHYANA, S.Kom.</t>
  </si>
  <si>
    <t>DESAIN GRAFIS</t>
  </si>
  <si>
    <t>081220726671</t>
  </si>
  <si>
    <t>WALI KELAS X TKJ 1</t>
  </si>
  <si>
    <t>088</t>
  </si>
  <si>
    <t>JK01</t>
  </si>
  <si>
    <t>TEKNOLOGI TELEKOMUNIKASI</t>
  </si>
  <si>
    <t>089</t>
  </si>
  <si>
    <t>JO01</t>
  </si>
  <si>
    <t>TEKNOLOGI JARINGAN WAN</t>
  </si>
  <si>
    <t>090</t>
  </si>
  <si>
    <t>JC01</t>
  </si>
  <si>
    <t>PENDI ABDUL WAHAB, S.T.</t>
  </si>
  <si>
    <t>INSTALASI DAN KONFIGURASI PERANGKAT JARINGAN</t>
  </si>
  <si>
    <t>081313757560</t>
  </si>
  <si>
    <t>KAPROG TKJ</t>
  </si>
  <si>
    <t>091</t>
  </si>
  <si>
    <t>JM01</t>
  </si>
  <si>
    <t>PEMROGRAMAN JARINGAN</t>
  </si>
  <si>
    <t>092</t>
  </si>
  <si>
    <t>LB02</t>
  </si>
  <si>
    <t>093</t>
  </si>
  <si>
    <t>LB03</t>
  </si>
  <si>
    <t>SOFYAN ABDUL SOBAR, A.Md.</t>
  </si>
  <si>
    <t>0895329179973</t>
  </si>
  <si>
    <t>094</t>
  </si>
  <si>
    <t>I 03</t>
  </si>
  <si>
    <t>095</t>
  </si>
  <si>
    <t>LC01</t>
  </si>
  <si>
    <t>HADI HERYADI, S.E., M.Pd.</t>
  </si>
  <si>
    <t>KREATIVITAS, INOVASI, DAN KEWIRAUSAHAAN DKV</t>
  </si>
  <si>
    <t>081221540269</t>
  </si>
  <si>
    <t>WAKASEK HUBINMAS</t>
  </si>
  <si>
    <t>096</t>
  </si>
  <si>
    <t>MA01</t>
  </si>
  <si>
    <t>RIKI AHMAD TAUFIK, S.S.T., M.Pd.</t>
  </si>
  <si>
    <t>DASAR PROGRAM DESAIN KOMUNIKASI VISUAL</t>
  </si>
  <si>
    <t>082126919480</t>
  </si>
  <si>
    <t>KAPROG DKV</t>
  </si>
  <si>
    <t>097</t>
  </si>
  <si>
    <t>MC01</t>
  </si>
  <si>
    <t>098</t>
  </si>
  <si>
    <t>MB01</t>
  </si>
  <si>
    <t>ELIS SELIN RESIANA WULANDARI, S.Pd.</t>
  </si>
  <si>
    <t>MAPEL KONSENTRASI KEAHLIAN DKV KELAS XI</t>
  </si>
  <si>
    <t>085891435535</t>
  </si>
  <si>
    <t>WALI KELAS XI DKV 2</t>
  </si>
  <si>
    <t>099</t>
  </si>
  <si>
    <t>MC02</t>
  </si>
  <si>
    <t>100</t>
  </si>
  <si>
    <t>JH01</t>
  </si>
  <si>
    <t>ANIMASI DIGITAL</t>
  </si>
  <si>
    <t>101</t>
  </si>
  <si>
    <t>MA02</t>
  </si>
  <si>
    <t>GITA PERMATASARI, S.Pd.</t>
  </si>
  <si>
    <t>082295166507</t>
  </si>
  <si>
    <t>WALI KELAS XI DKV 3</t>
  </si>
  <si>
    <t>PEMBINA PASKIBRA</t>
  </si>
  <si>
    <t>102</t>
  </si>
  <si>
    <t>MB02</t>
  </si>
  <si>
    <t>103</t>
  </si>
  <si>
    <t>MB03</t>
  </si>
  <si>
    <t>EVA NURFAIDAH, S.Pd.</t>
  </si>
  <si>
    <t>081214156792</t>
  </si>
  <si>
    <t>WALI KELAS XI DKV 1</t>
  </si>
  <si>
    <t>104</t>
  </si>
  <si>
    <t>MC03</t>
  </si>
  <si>
    <t>105</t>
  </si>
  <si>
    <t>MC04</t>
  </si>
  <si>
    <t>SOFWAN NURHAKIM, S.Tr.Kom.</t>
  </si>
  <si>
    <t>081324560809</t>
  </si>
  <si>
    <t>OPERATOR DAPODIK</t>
  </si>
  <si>
    <t>106</t>
  </si>
  <si>
    <t>LC02</t>
  </si>
  <si>
    <t>107</t>
  </si>
  <si>
    <t>I 07</t>
  </si>
  <si>
    <t>108</t>
  </si>
  <si>
    <t>MA03</t>
  </si>
  <si>
    <t xml:space="preserve">AZIZ ABDULLAH MUHARAM, S.E. </t>
  </si>
  <si>
    <t>083869622421</t>
  </si>
  <si>
    <t>KA LAB DKV</t>
  </si>
  <si>
    <t>109</t>
  </si>
  <si>
    <t>PA01</t>
  </si>
  <si>
    <t>NENENG VITRI, S.Pd.</t>
  </si>
  <si>
    <t>DASAR PROGRAM MANAJEMEN PERKANTORAN DAN LAYANAN BISNIS</t>
  </si>
  <si>
    <t>082240507453</t>
  </si>
  <si>
    <t>KAPROG MP</t>
  </si>
  <si>
    <t>110</t>
  </si>
  <si>
    <t>LD01</t>
  </si>
  <si>
    <t>111</t>
  </si>
  <si>
    <t>PB01</t>
  </si>
  <si>
    <t>DELIS NURHASANAH, S.E.</t>
  </si>
  <si>
    <t>KOMUNIKASI DI TEMPAT KERJA</t>
  </si>
  <si>
    <t>082317094273</t>
  </si>
  <si>
    <t>WALI KELAS XI MP 2</t>
  </si>
  <si>
    <t>112</t>
  </si>
  <si>
    <t>PF01</t>
  </si>
  <si>
    <t>PENGELOLAAN RAPAT</t>
  </si>
  <si>
    <t>113</t>
  </si>
  <si>
    <t>PG01</t>
  </si>
  <si>
    <t>KEARSIPAN</t>
  </si>
  <si>
    <t>114</t>
  </si>
  <si>
    <t>PH01</t>
  </si>
  <si>
    <t>PENGELOLAAN HUMAS DAN KEPROTOKOLAN</t>
  </si>
  <si>
    <t>115</t>
  </si>
  <si>
    <t>PC01</t>
  </si>
  <si>
    <t>ANITA FIRDAUS FAUZIAH, S.E.</t>
  </si>
  <si>
    <t>PENGELOLAAN ADMINISTRASI UMUM</t>
  </si>
  <si>
    <t>083825195196</t>
  </si>
  <si>
    <t>WALI KELAS XI MP 1</t>
  </si>
  <si>
    <t>KALAB MP</t>
  </si>
  <si>
    <t>116</t>
  </si>
  <si>
    <t>PE01</t>
  </si>
  <si>
    <t>PENGELOLAAN SARANA DAN PRASARANA</t>
  </si>
  <si>
    <t>117</t>
  </si>
  <si>
    <t>PF02</t>
  </si>
  <si>
    <t>118</t>
  </si>
  <si>
    <t>PI01</t>
  </si>
  <si>
    <t>TEKNOLOGI PERKANTORAN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</si>
</sst>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0"/>
      <name val="Bookman Old Style"/>
      <family val="1"/>
    </font>
    <font>
      <b/>
      <sz val="7"/>
      <color theme="0"/>
      <name val="Bookman Old Style"/>
      <family val="1"/>
    </font>
    <font>
      <sz val="9"/>
      <color theme="1"/>
      <name val="Bookman Old Style"/>
      <family val="1"/>
    </font>
    <font>
      <b/>
      <sz val="12"/>
      <name val="Bookman Old Style"/>
      <family val="1"/>
    </font>
    <font>
      <sz val="1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 shrinkToFit="1"/>
    </xf>
    <xf numFmtId="0" fontId="3" fillId="2" borderId="3" xfId="1" applyFont="1" applyFill="1" applyBorder="1" applyAlignment="1">
      <alignment horizontal="center" vertical="center" wrapText="1" shrinkToFit="1"/>
    </xf>
    <xf numFmtId="0" fontId="3" fillId="2" borderId="4" xfId="1" applyFont="1" applyFill="1" applyBorder="1" applyAlignment="1">
      <alignment horizontal="center" vertical="center" wrapText="1" shrinkToFit="1"/>
    </xf>
    <xf numFmtId="0" fontId="3" fillId="2" borderId="5" xfId="1" applyFont="1" applyFill="1" applyBorder="1" applyAlignment="1">
      <alignment horizontal="center" vertical="center" wrapText="1" shrinkToFit="1"/>
    </xf>
    <xf numFmtId="0" fontId="4" fillId="0" borderId="1" xfId="1" quotePrefix="1" applyFont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 shrinkToFit="1"/>
    </xf>
    <xf numFmtId="0" fontId="4" fillId="3" borderId="7" xfId="1" applyFont="1" applyFill="1" applyBorder="1" applyAlignment="1">
      <alignment horizontal="center" vertical="center" shrinkToFit="1"/>
    </xf>
    <xf numFmtId="0" fontId="4" fillId="3" borderId="8" xfId="1" applyFont="1" applyFill="1" applyBorder="1" applyAlignment="1">
      <alignment horizontal="center" vertical="center" shrinkToFit="1"/>
    </xf>
    <xf numFmtId="0" fontId="5" fillId="2" borderId="1" xfId="1" applyFont="1" applyFill="1" applyBorder="1" applyAlignment="1">
      <alignment horizontal="center" vertical="center" wrapText="1"/>
    </xf>
    <xf numFmtId="0" fontId="2" fillId="0" borderId="0" xfId="1" applyFont="1"/>
    <xf numFmtId="0" fontId="3" fillId="2" borderId="9" xfId="1" applyFont="1" applyFill="1" applyBorder="1" applyAlignment="1">
      <alignment horizontal="center" vertical="center" textRotation="90" wrapText="1"/>
    </xf>
    <xf numFmtId="0" fontId="3" fillId="2" borderId="9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 shrinkToFit="1"/>
    </xf>
    <xf numFmtId="0" fontId="3" fillId="4" borderId="1" xfId="1" applyFont="1" applyFill="1" applyBorder="1" applyAlignment="1">
      <alignment horizontal="center" vertical="center" textRotation="90" shrinkToFit="1"/>
    </xf>
    <xf numFmtId="0" fontId="4" fillId="5" borderId="1" xfId="1" applyFont="1" applyFill="1" applyBorder="1" applyAlignment="1">
      <alignment horizontal="center" vertical="center" textRotation="90" shrinkToFit="1"/>
    </xf>
    <xf numFmtId="0" fontId="4" fillId="3" borderId="1" xfId="1" applyFont="1" applyFill="1" applyBorder="1" applyAlignment="1">
      <alignment horizontal="center" vertical="center" shrinkToFit="1"/>
    </xf>
    <xf numFmtId="0" fontId="4" fillId="3" borderId="2" xfId="1" applyFont="1" applyFill="1" applyBorder="1" applyAlignment="1">
      <alignment horizontal="center" vertical="center" shrinkToFit="1"/>
    </xf>
    <xf numFmtId="0" fontId="5" fillId="2" borderId="1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shrinkToFit="1"/>
    </xf>
    <xf numFmtId="0" fontId="2" fillId="0" borderId="1" xfId="0" quotePrefix="1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0" xfId="0" applyFont="1"/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 shrinkToFit="1"/>
    </xf>
    <xf numFmtId="0" fontId="9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0" xfId="0" applyFont="1" applyAlignment="1">
      <alignment horizontal="center" shrinkToFi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/>
    </xf>
  </cellXfs>
  <cellStyles count="2">
    <cellStyle name="Normal" xfId="0" builtinId="0"/>
    <cellStyle name="Normal 10" xfId="1" xr:uid="{0C2F16BD-8226-43B8-9F33-51BF73DDE7F3}"/>
  </cellStyles>
  <dxfs count="11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khawarizmi/Downloads/JADWAL%2026-27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 WAKTU"/>
      <sheetName val="01. DATA SEKOLAH"/>
      <sheetName val="02. STRUKTUR"/>
      <sheetName val="DUK"/>
      <sheetName val="03. DAFTAR MAPEL"/>
      <sheetName val="04. SET KODE KELAS"/>
      <sheetName val="DUK (2)"/>
      <sheetName val="05. SET GURU"/>
      <sheetName val="TUGAS TAMBAHAN"/>
      <sheetName val="PETA PER HARI"/>
      <sheetName val="PEMETAAN JADWAL"/>
      <sheetName val="JADWAL PER GURU"/>
      <sheetName val="JADWAL KELAS ALL"/>
      <sheetName val="CETAK"/>
      <sheetName val="GURU ALL"/>
      <sheetName val="PEMETAAN PKL"/>
      <sheetName val="Sheet3"/>
    </sheetNames>
    <sheetDataSet>
      <sheetData sheetId="0"/>
      <sheetData sheetId="1"/>
      <sheetData sheetId="2"/>
      <sheetData sheetId="3">
        <row r="2">
          <cell r="B2" t="str">
            <v>HADI HERYADI, S.E., M.Pd.</v>
          </cell>
          <cell r="C2" t="str">
            <v>Garut, 02 September 1979</v>
          </cell>
          <cell r="D2" t="str">
            <v>197909022009021002</v>
          </cell>
        </row>
        <row r="3">
          <cell r="B3" t="str">
            <v>KUJANG ARIFIN, S.Pd., M.Pd.</v>
          </cell>
          <cell r="C3" t="str">
            <v>Garut,09 Juli 1969</v>
          </cell>
          <cell r="D3" t="str">
            <v>196907092008011004</v>
          </cell>
        </row>
        <row r="4">
          <cell r="B4" t="str">
            <v>FAIZAL ABDI, S.Pd., M.Pd.</v>
          </cell>
          <cell r="C4" t="str">
            <v>Tegal, 19 September 1980</v>
          </cell>
          <cell r="D4" t="str">
            <v>198009192010011006</v>
          </cell>
        </row>
        <row r="5">
          <cell r="B5" t="str">
            <v>UDEN HASAN J., S.Kom., M.Pd.</v>
          </cell>
          <cell r="C5" t="str">
            <v>Garut,12 November 1976</v>
          </cell>
          <cell r="D5" t="str">
            <v>197611122011011001</v>
          </cell>
        </row>
        <row r="6">
          <cell r="B6" t="str">
            <v>NURLAELA YULIANTI, S.Pd.</v>
          </cell>
          <cell r="C6" t="str">
            <v>Bandung, 08 Juli 1988</v>
          </cell>
          <cell r="D6" t="str">
            <v>198807082020122007</v>
          </cell>
        </row>
        <row r="7">
          <cell r="B7" t="str">
            <v>ASEP HIDAYAT RAMDANI, S.T.</v>
          </cell>
          <cell r="C7" t="str">
            <v>Garut, 04 April 1990</v>
          </cell>
          <cell r="D7" t="str">
            <v>199004042020121011</v>
          </cell>
        </row>
        <row r="8">
          <cell r="B8" t="str">
            <v>AKON MAULANA, S.Pd.</v>
          </cell>
          <cell r="C8" t="str">
            <v>Bandung,17 Juni 1990</v>
          </cell>
          <cell r="D8" t="str">
            <v>199006172020121010</v>
          </cell>
        </row>
        <row r="9">
          <cell r="B9" t="str">
            <v>LINA LESTA SHOFA, S.Pd.</v>
          </cell>
          <cell r="C9" t="str">
            <v>Garut,26 Februari 1985</v>
          </cell>
          <cell r="D9" t="str">
            <v>198502262014122001</v>
          </cell>
        </row>
        <row r="10">
          <cell r="B10" t="str">
            <v xml:space="preserve">INTAN NURI SUTIADI, S.Pd. </v>
          </cell>
          <cell r="C10" t="str">
            <v>Garut, 28 April 1997</v>
          </cell>
          <cell r="D10" t="str">
            <v>199704282020122013</v>
          </cell>
        </row>
        <row r="11">
          <cell r="B11" t="str">
            <v>CICAH CUTICAH, S.Pd.</v>
          </cell>
          <cell r="C11" t="str">
            <v>Garut, 27 November 1975</v>
          </cell>
          <cell r="D11" t="str">
            <v>197511272021212002</v>
          </cell>
        </row>
        <row r="12">
          <cell r="B12" t="str">
            <v>APUD SAEPUDIN, S.Sn.</v>
          </cell>
          <cell r="C12" t="str">
            <v>Garut, 18 September 1973</v>
          </cell>
          <cell r="D12" t="str">
            <v>197309182022211003</v>
          </cell>
        </row>
        <row r="13">
          <cell r="B13" t="str">
            <v>R. DEWI FATIMAH, S.Pd.</v>
          </cell>
          <cell r="C13" t="str">
            <v>Garut, 18 Maret 1974</v>
          </cell>
          <cell r="D13" t="str">
            <v>197403182022212002</v>
          </cell>
        </row>
        <row r="14">
          <cell r="B14" t="str">
            <v>AHMAD RAFIQ, S.E., S.Pd.</v>
          </cell>
          <cell r="C14" t="str">
            <v>Garut, 11 Maret 1978</v>
          </cell>
          <cell r="D14" t="str">
            <v>197803122022211003</v>
          </cell>
        </row>
        <row r="15">
          <cell r="B15" t="str">
            <v>YAYAN SITI NURJANAH, S.Pd.</v>
          </cell>
          <cell r="C15" t="str">
            <v>Garut, 12 April 1983</v>
          </cell>
          <cell r="D15" t="str">
            <v>198304122022212025</v>
          </cell>
        </row>
        <row r="16">
          <cell r="B16" t="str">
            <v>MOHAMAD ZAYYAN ABDUROHMAN, S.Pd.</v>
          </cell>
          <cell r="C16" t="str">
            <v>Garut, 10 September 1985</v>
          </cell>
          <cell r="D16" t="str">
            <v>198509102022211008</v>
          </cell>
        </row>
        <row r="17">
          <cell r="B17" t="str">
            <v>RIKI AHMAD TAUFIK, S.S.T., M.Pd.</v>
          </cell>
          <cell r="C17" t="str">
            <v>Garut, 05 februari 1986</v>
          </cell>
          <cell r="D17" t="str">
            <v>198602052022211014</v>
          </cell>
        </row>
        <row r="18">
          <cell r="B18" t="str">
            <v>SOPPA SOPIA NURCAHYANI, S.Pd.</v>
          </cell>
          <cell r="C18" t="str">
            <v>Garut, 05 Agustus 1986</v>
          </cell>
          <cell r="D18" t="str">
            <v>198608052022212017</v>
          </cell>
        </row>
        <row r="19">
          <cell r="B19" t="str">
            <v>PUTRI FEBRIANA RENGGANIS, S.Pd.</v>
          </cell>
          <cell r="C19" t="str">
            <v>Garut, 3 Februari 1989</v>
          </cell>
          <cell r="D19" t="str">
            <v>198902032022212010</v>
          </cell>
        </row>
        <row r="20">
          <cell r="B20" t="str">
            <v>BENI SUTEJA, S.Pd.</v>
          </cell>
          <cell r="C20" t="str">
            <v>Garut, 09 Agustus 1977</v>
          </cell>
          <cell r="D20" t="str">
            <v>197708092022211003</v>
          </cell>
        </row>
        <row r="21">
          <cell r="B21" t="str">
            <v>YANA CAHYANA, S.Kom.</v>
          </cell>
          <cell r="C21" t="str">
            <v>Bandung, 23 Februari 1982</v>
          </cell>
          <cell r="D21" t="str">
            <v>198202232022211013</v>
          </cell>
        </row>
        <row r="22">
          <cell r="B22" t="str">
            <v>SUPRIATNA, M.Pd.</v>
          </cell>
          <cell r="C22" t="str">
            <v>Garut, 21 Desember 1982</v>
          </cell>
          <cell r="D22" t="str">
            <v>198212212022211006</v>
          </cell>
        </row>
        <row r="23">
          <cell r="B23" t="str">
            <v>YAYU RAHAYU, S.P.</v>
          </cell>
          <cell r="C23" t="str">
            <v>Ciamis, 11 Maret 1983</v>
          </cell>
          <cell r="D23" t="str">
            <v>198303112022212034</v>
          </cell>
        </row>
        <row r="24">
          <cell r="B24" t="str">
            <v>AGUS SOBARUDIN, S.Pd.</v>
          </cell>
          <cell r="C24" t="str">
            <v>Garut, 18 Desember 1985</v>
          </cell>
          <cell r="D24" t="str">
            <v>198512182022211020</v>
          </cell>
        </row>
        <row r="25">
          <cell r="B25" t="str">
            <v>PENDI ABDUL WAHAB, S.T.</v>
          </cell>
          <cell r="C25" t="str">
            <v>Garut, 10 Juni 1988</v>
          </cell>
          <cell r="D25" t="str">
            <v>198806102022211023</v>
          </cell>
        </row>
        <row r="26">
          <cell r="B26" t="str">
            <v>ULPI SANUSI, S.Pd.</v>
          </cell>
          <cell r="C26" t="str">
            <v>Bandung, 16 Januari 1996</v>
          </cell>
          <cell r="D26" t="str">
            <v>199601162022211005</v>
          </cell>
        </row>
        <row r="27">
          <cell r="B27" t="str">
            <v>ELIS SELIN RESIANA WULANDARI, S.Pd.</v>
          </cell>
          <cell r="C27" t="str">
            <v>Garut, 22 Mei 1996</v>
          </cell>
          <cell r="D27" t="str">
            <v>199605222022212012</v>
          </cell>
        </row>
        <row r="28">
          <cell r="B28" t="str">
            <v>RIJAL AHMAD RAMDLANI, S.Pd.I.</v>
          </cell>
          <cell r="C28" t="str">
            <v>Garut, 10 Agustus 1978</v>
          </cell>
          <cell r="D28" t="str">
            <v>197808102023211003</v>
          </cell>
        </row>
        <row r="29">
          <cell r="B29" t="str">
            <v>NENENG VITRI, S.Pd.</v>
          </cell>
          <cell r="C29" t="str">
            <v>Garut, 03 September 1983</v>
          </cell>
          <cell r="D29" t="str">
            <v>198309032023212007</v>
          </cell>
        </row>
        <row r="30">
          <cell r="B30" t="str">
            <v>JULAEHA, S.Pd.I.</v>
          </cell>
          <cell r="C30" t="str">
            <v>Garut, 16 November 1981</v>
          </cell>
          <cell r="D30" t="str">
            <v>198111162023062001</v>
          </cell>
        </row>
        <row r="31">
          <cell r="B31" t="str">
            <v>LUKMANUL HAKIM, S.T.</v>
          </cell>
          <cell r="C31" t="str">
            <v>Garut, 07 Februari 1992</v>
          </cell>
          <cell r="D31" t="str">
            <v>199202072023211019</v>
          </cell>
        </row>
        <row r="32">
          <cell r="B32" t="str">
            <v>MERIYANTI NURSIFA, S.Pd.</v>
          </cell>
          <cell r="C32" t="str">
            <v>Garut, 23 Maret 1995</v>
          </cell>
          <cell r="D32" t="str">
            <v>199503232023212023</v>
          </cell>
        </row>
        <row r="33">
          <cell r="B33" t="str">
            <v>REZQY MUHAMMAD NUR ALAM, S.Pd.</v>
          </cell>
          <cell r="C33" t="str">
            <v>Garut, 15 Agustus 1995</v>
          </cell>
          <cell r="D33" t="str">
            <v>199508152023211009</v>
          </cell>
        </row>
        <row r="34">
          <cell r="B34" t="str">
            <v>ENUNG FITRYANI, S.Pd.</v>
          </cell>
          <cell r="C34" t="str">
            <v>Garut, 04 September 1976</v>
          </cell>
          <cell r="D34" t="str">
            <v>197609042024212002</v>
          </cell>
        </row>
        <row r="35">
          <cell r="B35" t="str">
            <v>MAYA SITI UMAYAH, S.Pd.</v>
          </cell>
          <cell r="C35" t="str">
            <v>Sumedang, 30 Agustus 1988</v>
          </cell>
          <cell r="D35" t="str">
            <v>198808302024212015</v>
          </cell>
        </row>
        <row r="36">
          <cell r="B36" t="str">
            <v>AHMAD NURUL KODRI, S.Pd.</v>
          </cell>
          <cell r="C36" t="str">
            <v>Garut, 30 Juli 1989</v>
          </cell>
          <cell r="D36" t="str">
            <v>198907302024211016</v>
          </cell>
        </row>
        <row r="37">
          <cell r="B37" t="str">
            <v>ALFIAN RIZKY MAULANA, S.Pd.</v>
          </cell>
          <cell r="C37" t="str">
            <v>Bekasi, 13 Maret 1991</v>
          </cell>
          <cell r="D37" t="str">
            <v>199103132024211017</v>
          </cell>
        </row>
        <row r="38">
          <cell r="B38" t="str">
            <v>SRI TIKNOWATI, S.Pd.</v>
          </cell>
          <cell r="C38" t="str">
            <v>Sumedang, 20 Juni 1994</v>
          </cell>
          <cell r="D38" t="str">
            <v>199406202024212034</v>
          </cell>
        </row>
        <row r="39">
          <cell r="B39" t="str">
            <v>YANTI YULIANTI, S.Pd.</v>
          </cell>
          <cell r="C39" t="str">
            <v>Garut, 05 Juli 1987</v>
          </cell>
          <cell r="D39" t="str">
            <v>198707052025212009</v>
          </cell>
        </row>
        <row r="40">
          <cell r="B40" t="str">
            <v>GITA PERMATASARI, S.Pd.</v>
          </cell>
          <cell r="C40" t="str">
            <v>Garut,01 Juni 1991</v>
          </cell>
          <cell r="D40" t="str">
            <v>199106012025212008</v>
          </cell>
        </row>
        <row r="41">
          <cell r="B41" t="str">
            <v>ESA NURUL ASHRI, S.Pd.</v>
          </cell>
          <cell r="C41" t="str">
            <v>Garut, 08 Juni 1988</v>
          </cell>
          <cell r="D41" t="str">
            <v>198806082025212145</v>
          </cell>
        </row>
        <row r="42">
          <cell r="B42" t="str">
            <v>YENI SITI FITRIANI, S.Pd.</v>
          </cell>
          <cell r="C42" t="str">
            <v>Garut, 27 Mei 1987</v>
          </cell>
          <cell r="D42" t="str">
            <v>198705272025212124</v>
          </cell>
        </row>
        <row r="43">
          <cell r="B43" t="str">
            <v>EVA NURFAIDAH, S.Pd.</v>
          </cell>
          <cell r="C43" t="str">
            <v>Garut, 25 April 1990</v>
          </cell>
          <cell r="D43" t="str">
            <v>199004252025212105</v>
          </cell>
        </row>
        <row r="44">
          <cell r="B44" t="str">
            <v>RIKI KARISMA, S.Pd.</v>
          </cell>
          <cell r="C44" t="str">
            <v>Garut, 10 Juli 1992</v>
          </cell>
          <cell r="D44" t="str">
            <v>199207102025211170</v>
          </cell>
        </row>
        <row r="45">
          <cell r="B45" t="str">
            <v>SOFWAN NURHAKIM, S.Tr.Kom.</v>
          </cell>
          <cell r="C45" t="str">
            <v>Bandung, 19 Mei 1994</v>
          </cell>
          <cell r="D45" t="str">
            <v>199405192025211120</v>
          </cell>
        </row>
        <row r="46">
          <cell r="B46" t="str">
            <v>LIA MARIA ULPA, S.Pd.</v>
          </cell>
          <cell r="C46" t="str">
            <v>Garut, 27 Juni 1993</v>
          </cell>
          <cell r="D46" t="str">
            <v>199306272025212154</v>
          </cell>
        </row>
        <row r="47">
          <cell r="B47" t="str">
            <v>SHINTA ANNISA, S.Pd.</v>
          </cell>
          <cell r="C47" t="str">
            <v>Garut, 09 November 1990</v>
          </cell>
          <cell r="D47" t="str">
            <v>199111092025212122</v>
          </cell>
        </row>
        <row r="48">
          <cell r="B48" t="str">
            <v>WAHYUNI PERMATASARI, S.Psi.</v>
          </cell>
          <cell r="C48" t="str">
            <v>Garut, 1 Juni 1997</v>
          </cell>
          <cell r="D48" t="str">
            <v>199706012025212110</v>
          </cell>
        </row>
        <row r="49">
          <cell r="B49" t="str">
            <v>RISKA NAFISAH, S.E.</v>
          </cell>
          <cell r="C49" t="str">
            <v>Garut, 18 Desember 1991</v>
          </cell>
          <cell r="D49" t="str">
            <v>199112182025212054</v>
          </cell>
        </row>
        <row r="50">
          <cell r="B50" t="str">
            <v>SOFYAN ABDUL SOBAR, A.Md.</v>
          </cell>
          <cell r="C50" t="str">
            <v>Garut, 17 Desember 1994</v>
          </cell>
          <cell r="D50" t="str">
            <v>199412172025211059</v>
          </cell>
        </row>
        <row r="51">
          <cell r="B51" t="str">
            <v>SARAH ADHITIA RAHAYU, A.Md.</v>
          </cell>
          <cell r="C51" t="str">
            <v>Garut, 30 April 1994</v>
          </cell>
          <cell r="D51" t="str">
            <v>199404302025212153</v>
          </cell>
        </row>
        <row r="52">
          <cell r="B52" t="str">
            <v xml:space="preserve">AZIZ ABDULLAH MUHARAM, S.E. </v>
          </cell>
          <cell r="C52" t="str">
            <v>Garut, 05 Agustus 1991</v>
          </cell>
          <cell r="D52" t="str">
            <v>199108052025211147</v>
          </cell>
        </row>
        <row r="53">
          <cell r="B53" t="str">
            <v>ABDUL HIDIR, S.T.</v>
          </cell>
          <cell r="C53" t="str">
            <v>Garut, 20 Desember 1985</v>
          </cell>
          <cell r="D53" t="str">
            <v>198512202025211121</v>
          </cell>
        </row>
        <row r="54">
          <cell r="B54" t="str">
            <v>MEMET HERMAWAN, S.E.</v>
          </cell>
          <cell r="C54" t="str">
            <v>Balikpapan,21 Mei 1978</v>
          </cell>
          <cell r="D54" t="str">
            <v>197805212025211026</v>
          </cell>
        </row>
        <row r="55">
          <cell r="B55" t="str">
            <v>ANITA FIRDAUS FAUZIAH, S.E.</v>
          </cell>
          <cell r="C55" t="str">
            <v>Garut, 03 Juni 1977</v>
          </cell>
          <cell r="D55" t="str">
            <v>199706032025212071</v>
          </cell>
        </row>
        <row r="56">
          <cell r="B56" t="str">
            <v>DELIS NURHASANAH, S.E.</v>
          </cell>
          <cell r="C56" t="str">
            <v>Garut, 09 November 1999</v>
          </cell>
          <cell r="D56" t="str">
            <v>199911092025212075</v>
          </cell>
        </row>
        <row r="57">
          <cell r="B57" t="str">
            <v>RAFNI RAFSANJANI, S.E.</v>
          </cell>
          <cell r="C57" t="str">
            <v>Garut, 09 Juli 2000</v>
          </cell>
          <cell r="D57" t="str">
            <v>200007092025211039</v>
          </cell>
        </row>
      </sheetData>
      <sheetData sheetId="4">
        <row r="3">
          <cell r="C3" t="str">
            <v>PENDIDIKAN AGAMA DAN BUDI PEKERTI</v>
          </cell>
          <cell r="D3" t="str">
            <v>PABP</v>
          </cell>
        </row>
        <row r="4">
          <cell r="C4" t="str">
            <v>PENDIDIKAN PANCASILA</v>
          </cell>
          <cell r="D4" t="str">
            <v>PP</v>
          </cell>
        </row>
        <row r="5">
          <cell r="C5" t="str">
            <v>BAHASA INDONESIA</v>
          </cell>
          <cell r="D5" t="str">
            <v>B. INDO</v>
          </cell>
        </row>
        <row r="6">
          <cell r="C6" t="str">
            <v>MATEMATIKA</v>
          </cell>
          <cell r="D6" t="str">
            <v>MTK</v>
          </cell>
        </row>
        <row r="7">
          <cell r="C7" t="str">
            <v>SEJARAH</v>
          </cell>
          <cell r="D7" t="str">
            <v>SEJ</v>
          </cell>
        </row>
        <row r="8">
          <cell r="C8" t="str">
            <v>BAHASA INGGRIS</v>
          </cell>
          <cell r="D8" t="str">
            <v>B. INGG</v>
          </cell>
        </row>
        <row r="9">
          <cell r="C9" t="str">
            <v>SENI DAN BUDAYA</v>
          </cell>
          <cell r="D9" t="str">
            <v>SB</v>
          </cell>
        </row>
        <row r="10">
          <cell r="C10" t="str">
            <v>PENDIDIKAN JASMANI, OLAH RAGA, DAN KESEHATAN</v>
          </cell>
          <cell r="D10" t="str">
            <v>PJOK</v>
          </cell>
        </row>
        <row r="11">
          <cell r="C11" t="str">
            <v>INFORMATIKA</v>
          </cell>
          <cell r="D11" t="str">
            <v>INFO</v>
          </cell>
        </row>
        <row r="12">
          <cell r="C12" t="str">
            <v>PROYEK ILMU PENGETAHUAN ALAM DAN SOSIAL</v>
          </cell>
          <cell r="D12" t="str">
            <v>PIPAS</v>
          </cell>
        </row>
        <row r="13">
          <cell r="C13" t="str">
            <v>ALAT UKUR DAN PERALATAN BENGKEL</v>
          </cell>
          <cell r="D13" t="str">
            <v>DPKO</v>
          </cell>
        </row>
        <row r="14">
          <cell r="C14" t="str">
            <v>DASAR PERAWATAN DAN K3LH</v>
          </cell>
          <cell r="D14" t="str">
            <v>DPKO</v>
          </cell>
        </row>
        <row r="15">
          <cell r="C15" t="str">
            <v>DASAR SISTEM DAN ELEKTRONIKA</v>
          </cell>
          <cell r="D15" t="str">
            <v>DPKO</v>
          </cell>
        </row>
        <row r="16">
          <cell r="C16" t="str">
            <v>GAMBAR TEKNIK</v>
          </cell>
          <cell r="D16" t="str">
            <v>DPKO</v>
          </cell>
        </row>
        <row r="17">
          <cell r="C17" t="str">
            <v>WAWASAN DAN BISNIS OTOMOTIF</v>
          </cell>
          <cell r="D17" t="str">
            <v>DPKO</v>
          </cell>
        </row>
        <row r="18">
          <cell r="C18" t="str">
            <v>ARSITEKTUR KOMPUTER</v>
          </cell>
          <cell r="D18" t="str">
            <v>DPKJ</v>
          </cell>
        </row>
        <row r="19">
          <cell r="C19" t="str">
            <v>DESAIN GRAFIS</v>
          </cell>
          <cell r="D19" t="str">
            <v>DPKJ</v>
          </cell>
        </row>
        <row r="20">
          <cell r="C20" t="str">
            <v>INSTALASI DAN KONFIGURASI PERANGKAT JARINGAN</v>
          </cell>
          <cell r="D20" t="str">
            <v>DPKJ</v>
          </cell>
        </row>
        <row r="21">
          <cell r="C21" t="str">
            <v>KOMPUTER DAN JARINGAN DASAR</v>
          </cell>
          <cell r="D21" t="str">
            <v>DPKJ</v>
          </cell>
        </row>
        <row r="22">
          <cell r="C22" t="str">
            <v>SIMULASI DAN KOMUNIKASI DIGITAL</v>
          </cell>
          <cell r="D22" t="str">
            <v>DPKJ</v>
          </cell>
        </row>
        <row r="23">
          <cell r="C23" t="str">
            <v>SISTEM OPERASI DAN APLIKASI</v>
          </cell>
          <cell r="D23" t="str">
            <v>DPKJ</v>
          </cell>
        </row>
        <row r="24">
          <cell r="C24" t="str">
            <v>DASAR PROGRAM DESAIN KOMUNIKASI VISUAL</v>
          </cell>
          <cell r="D24" t="str">
            <v>DPKV</v>
          </cell>
        </row>
        <row r="25">
          <cell r="C25" t="str">
            <v>DASAR PROGRAM MANAJEMEN PERKANTORAN DAN LAYANAN BISNIS</v>
          </cell>
          <cell r="D25" t="str">
            <v>DPAP</v>
          </cell>
        </row>
        <row r="26">
          <cell r="C26" t="str">
            <v>MANAJEMEN BENGKEL</v>
          </cell>
          <cell r="D26" t="str">
            <v>MKTKR</v>
          </cell>
        </row>
        <row r="27">
          <cell r="C27" t="str">
            <v>PEMELIHARAAN KELISTRIKAN KENDARAAN RINGAN</v>
          </cell>
          <cell r="D27" t="str">
            <v>MKTKR</v>
          </cell>
        </row>
        <row r="28">
          <cell r="C28" t="str">
            <v>PEMELIHARAAN MESIN KENDARAAN RINGAN</v>
          </cell>
          <cell r="D28" t="str">
            <v>MKTKR</v>
          </cell>
        </row>
        <row r="29">
          <cell r="C29" t="str">
            <v>PEMELIHARAAN SASIS DAN PEMINDAH TENAGA KENDARAAN RINGAN</v>
          </cell>
          <cell r="D29" t="str">
            <v>MKTKR</v>
          </cell>
        </row>
        <row r="30">
          <cell r="C30" t="str">
            <v>PERAWATAN BERKALA KENDARAAN RINGAN</v>
          </cell>
          <cell r="D30" t="str">
            <v>MKTKR</v>
          </cell>
        </row>
        <row r="31">
          <cell r="C31" t="str">
            <v>PEMELIHARAAN SISTEM PENGAMAN DAN EMS</v>
          </cell>
          <cell r="D31" t="str">
            <v>MKTKR</v>
          </cell>
        </row>
        <row r="32">
          <cell r="C32" t="str">
            <v>PENGUATAN KOMPETENSI KEAHLIAN</v>
          </cell>
          <cell r="D32" t="str">
            <v>MKTKR</v>
          </cell>
        </row>
        <row r="33">
          <cell r="C33" t="str">
            <v>KREATIVITAS, INOVASI, DAN KEWIRAUSAHAAN TKR</v>
          </cell>
          <cell r="D33" t="str">
            <v>KIK TKR</v>
          </cell>
        </row>
        <row r="34">
          <cell r="C34" t="str">
            <v>ADMINISTRASI INFRATUKTUR JARINGAN</v>
          </cell>
          <cell r="D34" t="str">
            <v>MKTKJ</v>
          </cell>
        </row>
        <row r="35">
          <cell r="C35" t="str">
            <v>ANIMASI DIGITAL</v>
          </cell>
          <cell r="D35" t="str">
            <v>MKTKJ</v>
          </cell>
        </row>
        <row r="36">
          <cell r="C36" t="str">
            <v>PEMROGRAMAN DASAR</v>
          </cell>
          <cell r="D36" t="str">
            <v>MKTKJ</v>
          </cell>
        </row>
        <row r="37">
          <cell r="C37" t="str">
            <v>TEKNOLOGI LAYANAN JARINGAN</v>
          </cell>
          <cell r="D37" t="str">
            <v>MKTKJ</v>
          </cell>
        </row>
        <row r="38">
          <cell r="C38" t="str">
            <v>TEKNOLOGI TELEKOMUNIKASI</v>
          </cell>
          <cell r="D38" t="str">
            <v>MKTKJ</v>
          </cell>
        </row>
        <row r="39">
          <cell r="C39" t="str">
            <v>ADMINSTRASI SISTEM JARINGAN</v>
          </cell>
          <cell r="D39" t="str">
            <v>MKTKJ</v>
          </cell>
        </row>
        <row r="40">
          <cell r="C40" t="str">
            <v>PEMROGRAMAN JARINGAN</v>
          </cell>
          <cell r="D40" t="str">
            <v>MKTKJ</v>
          </cell>
        </row>
        <row r="41">
          <cell r="C41" t="str">
            <v>PEMROGRAMAN WEB</v>
          </cell>
          <cell r="D41" t="str">
            <v>MKTKJ</v>
          </cell>
        </row>
        <row r="42">
          <cell r="C42" t="str">
            <v>TEKNOLOGI JARINGAN WAN</v>
          </cell>
          <cell r="D42" t="str">
            <v>MKTKJ</v>
          </cell>
        </row>
        <row r="43">
          <cell r="C43" t="str">
            <v>KREATIVITAS, INOVASI, DAN KEWIRAUSAHAAN TKJ</v>
          </cell>
          <cell r="D43" t="str">
            <v>KIK TKJ</v>
          </cell>
        </row>
        <row r="44">
          <cell r="C44" t="str">
            <v>MAPEL KONSENTRASI KEAHLIAN DKV KELAS XI</v>
          </cell>
          <cell r="D44" t="str">
            <v>MKDKV - XI</v>
          </cell>
        </row>
        <row r="45">
          <cell r="C45" t="str">
            <v>MAPEL KONSENTRASI KEAHLIAN DKV KELAS XII</v>
          </cell>
          <cell r="D45" t="str">
            <v>MKDKV - XII</v>
          </cell>
        </row>
        <row r="46">
          <cell r="C46" t="str">
            <v>KREATIVITAS, INOVASI, DAN KEWIRAUSAHAAN DKV</v>
          </cell>
          <cell r="D46" t="str">
            <v>KIK DKV</v>
          </cell>
        </row>
        <row r="47">
          <cell r="C47" t="str">
            <v>KOMUNIKASI DI TEMPAT KERJA</v>
          </cell>
          <cell r="D47" t="str">
            <v>MKMP</v>
          </cell>
        </row>
        <row r="48">
          <cell r="C48" t="str">
            <v>PENGELOLAAN ADMINISTRASI UMUM</v>
          </cell>
          <cell r="D48" t="str">
            <v>MKMP</v>
          </cell>
        </row>
        <row r="49">
          <cell r="C49" t="str">
            <v>PENGELOLAAN KEUANGAN SEDERHANA</v>
          </cell>
          <cell r="D49" t="str">
            <v>MKMP</v>
          </cell>
        </row>
        <row r="50">
          <cell r="C50" t="str">
            <v>PENGELOLAAN SARANA DAN PRASARANA</v>
          </cell>
          <cell r="D50" t="str">
            <v>MKMP</v>
          </cell>
        </row>
        <row r="51">
          <cell r="C51" t="str">
            <v>PENGELOLAAN RAPAT</v>
          </cell>
          <cell r="D51" t="str">
            <v>MKMP</v>
          </cell>
        </row>
        <row r="52">
          <cell r="C52" t="str">
            <v>KEARSIPAN</v>
          </cell>
          <cell r="D52" t="str">
            <v>MKMP</v>
          </cell>
        </row>
        <row r="53">
          <cell r="C53" t="str">
            <v>PENGELOLAAN HUMAS DAN KEPROTOKOLAN</v>
          </cell>
          <cell r="D53" t="str">
            <v>MKMP</v>
          </cell>
        </row>
        <row r="54">
          <cell r="C54" t="str">
            <v>TEKNOLOGI PERKANTORAN</v>
          </cell>
          <cell r="D54" t="str">
            <v>MKMP</v>
          </cell>
        </row>
        <row r="55">
          <cell r="C55" t="str">
            <v>KREATIVITAS, INOVASI, DAN KEWIRAUSAHAAN MP</v>
          </cell>
          <cell r="D55" t="str">
            <v>KIK MP</v>
          </cell>
        </row>
        <row r="56">
          <cell r="C56" t="str">
            <v>BAHASA SUNDA</v>
          </cell>
          <cell r="D56" t="str">
            <v>MULOK X</v>
          </cell>
        </row>
        <row r="57">
          <cell r="C57" t="str">
            <v>PENDIDIKAN LINGKUNGAN HIDUP</v>
          </cell>
          <cell r="D57" t="str">
            <v>MULOK XI</v>
          </cell>
        </row>
        <row r="58">
          <cell r="C58" t="str">
            <v>OLAHRAGA</v>
          </cell>
          <cell r="D58" t="str">
            <v>MULOK XII</v>
          </cell>
        </row>
        <row r="59">
          <cell r="C59" t="str">
            <v>MATEMATIKA TINGKAT LANJUT</v>
          </cell>
          <cell r="D59" t="str">
            <v>MP</v>
          </cell>
        </row>
        <row r="60">
          <cell r="C60" t="str">
            <v>BIMBINGAN PENYULUHAN/BIMBINGAN KONSELING</v>
          </cell>
          <cell r="D60" t="str">
            <v>BP/BK</v>
          </cell>
        </row>
      </sheetData>
      <sheetData sheetId="5">
        <row r="7">
          <cell r="B7" t="str">
            <v>01</v>
          </cell>
          <cell r="C7" t="str">
            <v>X TKR 1</v>
          </cell>
          <cell r="D7" t="str">
            <v>RIKI KARISMA, S.Pd.</v>
          </cell>
          <cell r="E7" t="str">
            <v>199207102025211170</v>
          </cell>
          <cell r="F7" t="str">
            <v>081380221927</v>
          </cell>
        </row>
        <row r="8">
          <cell r="B8" t="str">
            <v>02</v>
          </cell>
          <cell r="C8" t="str">
            <v>X TKR 2</v>
          </cell>
          <cell r="D8" t="str">
            <v>SARAH ADHITIA RAHAYU, A.Md.</v>
          </cell>
          <cell r="E8" t="str">
            <v>199404302025212153</v>
          </cell>
          <cell r="F8" t="str">
            <v>082240846738</v>
          </cell>
        </row>
        <row r="9">
          <cell r="B9" t="str">
            <v>03</v>
          </cell>
          <cell r="C9" t="str">
            <v>X TKR 3</v>
          </cell>
          <cell r="D9" t="str">
            <v>AKON MAULANA, S.Pd.</v>
          </cell>
          <cell r="E9" t="str">
            <v>199006172020121010</v>
          </cell>
          <cell r="F9" t="str">
            <v>085322133375</v>
          </cell>
        </row>
        <row r="10">
          <cell r="B10" t="str">
            <v>04</v>
          </cell>
          <cell r="C10" t="str">
            <v>X TKR 4</v>
          </cell>
          <cell r="D10" t="str">
            <v>LIA MARIA ULPA, S.Pd.</v>
          </cell>
          <cell r="E10" t="str">
            <v>199306272025212154</v>
          </cell>
          <cell r="F10" t="str">
            <v>085715406945</v>
          </cell>
        </row>
        <row r="11">
          <cell r="B11" t="str">
            <v>05</v>
          </cell>
          <cell r="C11" t="str">
            <v>X TKJ 1</v>
          </cell>
          <cell r="D11" t="str">
            <v>YANA CAHYANA, S.Kom.</v>
          </cell>
          <cell r="E11" t="str">
            <v>198202232022211013</v>
          </cell>
          <cell r="F11" t="str">
            <v>081220726671</v>
          </cell>
        </row>
        <row r="12">
          <cell r="B12" t="str">
            <v>06</v>
          </cell>
          <cell r="C12" t="str">
            <v>X TKJ 2</v>
          </cell>
          <cell r="D12" t="str">
            <v>YAYAN SITI NURJANAH, S.Pd.</v>
          </cell>
          <cell r="E12" t="str">
            <v>198304122022212025</v>
          </cell>
          <cell r="F12" t="str">
            <v>081395664170</v>
          </cell>
        </row>
        <row r="13">
          <cell r="B13" t="str">
            <v>07</v>
          </cell>
          <cell r="C13" t="str">
            <v>X TKJ 3</v>
          </cell>
          <cell r="D13" t="str">
            <v>LINA LESTA SHOFA, S.Pd.</v>
          </cell>
          <cell r="E13" t="str">
            <v>198502262014122001</v>
          </cell>
          <cell r="F13" t="str">
            <v>082219008891</v>
          </cell>
        </row>
        <row r="14">
          <cell r="B14" t="str">
            <v>08</v>
          </cell>
          <cell r="C14" t="str">
            <v>X TKJ 4</v>
          </cell>
          <cell r="D14" t="str">
            <v>ENUNG FITRYANI, S.Pd.</v>
          </cell>
          <cell r="E14" t="str">
            <v>197609042024212002</v>
          </cell>
          <cell r="F14" t="str">
            <v>082214553176</v>
          </cell>
        </row>
        <row r="15">
          <cell r="B15" t="str">
            <v>09</v>
          </cell>
          <cell r="C15" t="str">
            <v>X DKV 1</v>
          </cell>
          <cell r="D15" t="str">
            <v>LUKMANUL HAKIM, S.T.</v>
          </cell>
          <cell r="E15" t="str">
            <v>199202072023211019</v>
          </cell>
          <cell r="F15" t="str">
            <v>081223128628</v>
          </cell>
        </row>
        <row r="16">
          <cell r="B16" t="str">
            <v>10</v>
          </cell>
          <cell r="C16" t="str">
            <v>X DKV 2</v>
          </cell>
          <cell r="D16" t="str">
            <v>YANTI YULIANTI, S.Pd.</v>
          </cell>
          <cell r="E16" t="str">
            <v>198707052025212009</v>
          </cell>
          <cell r="F16" t="str">
            <v>089622887871</v>
          </cell>
        </row>
        <row r="17">
          <cell r="B17" t="str">
            <v>11</v>
          </cell>
          <cell r="C17" t="str">
            <v>X DKV 3</v>
          </cell>
          <cell r="D17" t="str">
            <v>ESA NURUL ASHRI, S.Pd.</v>
          </cell>
          <cell r="E17" t="str">
            <v>198806082025212145</v>
          </cell>
          <cell r="F17" t="str">
            <v>082240088803</v>
          </cell>
        </row>
        <row r="18">
          <cell r="B18" t="str">
            <v>12</v>
          </cell>
          <cell r="C18" t="str">
            <v>X DKV 4</v>
          </cell>
          <cell r="D18" t="str">
            <v>YENI SITI FITRIANI, S.Pd.</v>
          </cell>
          <cell r="E18" t="str">
            <v>198705272025212124</v>
          </cell>
          <cell r="F18" t="str">
            <v>082120220827</v>
          </cell>
        </row>
        <row r="19">
          <cell r="B19" t="str">
            <v>13</v>
          </cell>
          <cell r="C19" t="str">
            <v>X MP 1</v>
          </cell>
          <cell r="D19" t="str">
            <v>APUD SAEPUDIN, S.Sn.</v>
          </cell>
          <cell r="E19" t="str">
            <v>197309182022211003</v>
          </cell>
          <cell r="F19" t="str">
            <v>0895359507914</v>
          </cell>
        </row>
        <row r="20">
          <cell r="B20" t="str">
            <v>14</v>
          </cell>
          <cell r="C20" t="str">
            <v>X MP 2</v>
          </cell>
          <cell r="D20" t="str">
            <v>RISKA NAFISAH, S.E.</v>
          </cell>
          <cell r="E20" t="str">
            <v>199112182025212054</v>
          </cell>
          <cell r="F20" t="str">
            <v>082116902330</v>
          </cell>
        </row>
        <row r="21">
          <cell r="B21" t="str">
            <v>15</v>
          </cell>
          <cell r="C21" t="str">
            <v>XI TKR 1</v>
          </cell>
          <cell r="D21" t="str">
            <v>SHINTA ANNISA, S.Pd.</v>
          </cell>
          <cell r="E21" t="str">
            <v>199111092025212122</v>
          </cell>
          <cell r="F21" t="str">
            <v>082116587772</v>
          </cell>
        </row>
        <row r="22">
          <cell r="B22" t="str">
            <v>16</v>
          </cell>
          <cell r="C22" t="str">
            <v>XI TKR 2</v>
          </cell>
          <cell r="D22" t="str">
            <v>REZQY MUHAMMAD NUR ALAM, S.Pd.</v>
          </cell>
          <cell r="E22" t="str">
            <v>199508152023211009</v>
          </cell>
          <cell r="F22" t="str">
            <v>082118285401</v>
          </cell>
        </row>
        <row r="23">
          <cell r="B23" t="str">
            <v>17</v>
          </cell>
          <cell r="C23" t="str">
            <v>XI TKR 3</v>
          </cell>
          <cell r="D23" t="str">
            <v>ABDUL HIDIR, S.T.</v>
          </cell>
          <cell r="E23" t="str">
            <v>198512202025211121</v>
          </cell>
          <cell r="F23" t="str">
            <v>08997846844</v>
          </cell>
        </row>
        <row r="24">
          <cell r="B24" t="str">
            <v>18</v>
          </cell>
          <cell r="C24" t="str">
            <v>XI TKJ 1</v>
          </cell>
          <cell r="D24" t="str">
            <v>BENI SUTEJA, S.Pd.</v>
          </cell>
          <cell r="E24" t="str">
            <v>197708092022211003</v>
          </cell>
          <cell r="F24" t="str">
            <v>089648990345</v>
          </cell>
        </row>
        <row r="25">
          <cell r="B25" t="str">
            <v>19</v>
          </cell>
          <cell r="C25" t="str">
            <v>XI TKJ 2</v>
          </cell>
          <cell r="D25" t="str">
            <v>AGUS SOBARUDIN, S.Pd.</v>
          </cell>
          <cell r="E25" t="str">
            <v>198512182022211020</v>
          </cell>
          <cell r="F25" t="str">
            <v>085223010207</v>
          </cell>
        </row>
        <row r="26">
          <cell r="B26" t="str">
            <v>20</v>
          </cell>
          <cell r="C26" t="str">
            <v>XI TKJ 3</v>
          </cell>
          <cell r="D26" t="str">
            <v>CICAH CUTICAH, S.Pd.</v>
          </cell>
          <cell r="E26" t="str">
            <v>197511272021212002</v>
          </cell>
          <cell r="F26" t="str">
            <v>081318479854</v>
          </cell>
        </row>
        <row r="27">
          <cell r="B27" t="str">
            <v>21</v>
          </cell>
          <cell r="C27" t="str">
            <v>XI DKV 1</v>
          </cell>
          <cell r="D27" t="str">
            <v>EVA NURFAIDAH, S.Pd.</v>
          </cell>
          <cell r="E27" t="str">
            <v>199004252025212105</v>
          </cell>
          <cell r="F27" t="str">
            <v>081214156792</v>
          </cell>
        </row>
        <row r="28">
          <cell r="B28" t="str">
            <v>22</v>
          </cell>
          <cell r="C28" t="str">
            <v>XI DKV 2</v>
          </cell>
          <cell r="D28" t="str">
            <v>ELIS SELIN RESIANA WULANDARI, S.Pd.</v>
          </cell>
          <cell r="E28" t="str">
            <v>199605222022212012</v>
          </cell>
          <cell r="F28" t="str">
            <v>085891435535</v>
          </cell>
        </row>
        <row r="29">
          <cell r="B29" t="str">
            <v>23</v>
          </cell>
          <cell r="C29" t="str">
            <v>XI DKV 3</v>
          </cell>
          <cell r="D29" t="str">
            <v>GITA PERMATASARI, S.Pd.</v>
          </cell>
          <cell r="E29" t="str">
            <v>199106012025212008</v>
          </cell>
          <cell r="F29" t="str">
            <v>082295166507</v>
          </cell>
        </row>
        <row r="30">
          <cell r="B30" t="str">
            <v>24</v>
          </cell>
          <cell r="C30" t="str">
            <v>XI MP 1</v>
          </cell>
          <cell r="D30" t="str">
            <v>ANITA FIRDAUS FAUZIAH, S.E.</v>
          </cell>
          <cell r="E30" t="str">
            <v>199706032025212071</v>
          </cell>
          <cell r="F30" t="str">
            <v>083825195196</v>
          </cell>
        </row>
        <row r="31">
          <cell r="B31" t="str">
            <v>25</v>
          </cell>
          <cell r="C31" t="str">
            <v>XI MP 2</v>
          </cell>
          <cell r="D31" t="str">
            <v>DELIS NURHASANAH, S.E.</v>
          </cell>
          <cell r="E31" t="str">
            <v>199911092025212075</v>
          </cell>
          <cell r="F31" t="str">
            <v>082317094273</v>
          </cell>
        </row>
        <row r="32">
          <cell r="B32" t="str">
            <v>26</v>
          </cell>
          <cell r="C32" t="str">
            <v>XII TKR 1</v>
          </cell>
          <cell r="D32" t="str">
            <v>SRI TIKNOWATI, S.Pd.</v>
          </cell>
          <cell r="E32" t="str">
            <v>199406202024212034</v>
          </cell>
          <cell r="F32" t="str">
            <v>082119423707</v>
          </cell>
        </row>
        <row r="33">
          <cell r="B33" t="str">
            <v>27</v>
          </cell>
          <cell r="C33" t="str">
            <v>XII TKR 2</v>
          </cell>
          <cell r="D33" t="str">
            <v>AHMAD NURUL KODRI, S.Pd.</v>
          </cell>
          <cell r="E33" t="str">
            <v>198907302024211016</v>
          </cell>
          <cell r="F33" t="str">
            <v>085222205979</v>
          </cell>
        </row>
        <row r="34">
          <cell r="B34" t="str">
            <v>28</v>
          </cell>
          <cell r="C34" t="str">
            <v>XII TKR 3</v>
          </cell>
          <cell r="D34" t="str">
            <v>ALFIAN RIZKY MAULANA, S.Pd.</v>
          </cell>
          <cell r="E34" t="str">
            <v>199103132024211017</v>
          </cell>
          <cell r="F34" t="str">
            <v>085222075123</v>
          </cell>
        </row>
        <row r="35">
          <cell r="B35" t="str">
            <v>29</v>
          </cell>
          <cell r="C35" t="str">
            <v>XII TKJ 1</v>
          </cell>
          <cell r="D35" t="str">
            <v>JULAEHA, S.Pd.I.</v>
          </cell>
          <cell r="E35" t="str">
            <v>198111162023062001</v>
          </cell>
          <cell r="F35" t="str">
            <v>081322335883</v>
          </cell>
        </row>
        <row r="36">
          <cell r="B36" t="str">
            <v>30</v>
          </cell>
          <cell r="C36" t="str">
            <v>XII TKJ 2</v>
          </cell>
          <cell r="D36" t="str">
            <v>MOHAMAD ZAYYAN ABDUROHMAN, S.Pd.</v>
          </cell>
          <cell r="E36" t="str">
            <v>198509102022211008</v>
          </cell>
          <cell r="F36" t="str">
            <v>081395711616</v>
          </cell>
        </row>
        <row r="37">
          <cell r="B37" t="str">
            <v>31</v>
          </cell>
          <cell r="C37" t="str">
            <v>XII TKJ 3</v>
          </cell>
          <cell r="D37" t="str">
            <v>SOPPA SOPIA NURCAHYANI, S.Pd.</v>
          </cell>
          <cell r="E37" t="str">
            <v>198608052022212017</v>
          </cell>
          <cell r="F37" t="str">
            <v>085294890722</v>
          </cell>
        </row>
        <row r="38">
          <cell r="B38" t="str">
            <v>32</v>
          </cell>
          <cell r="C38" t="str">
            <v>XII DKV 1</v>
          </cell>
          <cell r="D38" t="str">
            <v>MAYA SITI UMAYAH, S.Pd.</v>
          </cell>
          <cell r="E38" t="str">
            <v>198808302024212015</v>
          </cell>
          <cell r="F38" t="str">
            <v>082121836661</v>
          </cell>
        </row>
        <row r="39">
          <cell r="B39" t="str">
            <v>33</v>
          </cell>
          <cell r="C39" t="str">
            <v>XII DKV 2</v>
          </cell>
          <cell r="D39" t="str">
            <v>R. DEWI FATIMAH, S.Pd.</v>
          </cell>
          <cell r="E39" t="str">
            <v>197403182022212002</v>
          </cell>
          <cell r="F39" t="str">
            <v>081398156739</v>
          </cell>
        </row>
        <row r="40">
          <cell r="B40" t="str">
            <v>34</v>
          </cell>
          <cell r="C40" t="str">
            <v>XII DKV 3</v>
          </cell>
          <cell r="D40" t="str">
            <v>YAYU RAHAYU, S.P.</v>
          </cell>
          <cell r="E40" t="str">
            <v>198303112022212034</v>
          </cell>
          <cell r="F40" t="str">
            <v>081394491995</v>
          </cell>
        </row>
        <row r="41">
          <cell r="B41" t="str">
            <v>35</v>
          </cell>
          <cell r="C41" t="str">
            <v>XII MP 1</v>
          </cell>
          <cell r="D41" t="str">
            <v>MERIYANTI NURSIFA, S.Pd.</v>
          </cell>
          <cell r="E41" t="str">
            <v>199503232023212023</v>
          </cell>
          <cell r="F41" t="str">
            <v>08988550633</v>
          </cell>
        </row>
        <row r="42">
          <cell r="B42" t="str">
            <v>36</v>
          </cell>
          <cell r="C42" t="str">
            <v>XII MP 2</v>
          </cell>
          <cell r="D42" t="str">
            <v>PUTRI FEBRIANA RENGGANIS, S.Pd.</v>
          </cell>
          <cell r="E42" t="str">
            <v>198902032022212010</v>
          </cell>
          <cell r="F42" t="str">
            <v>082126050606</v>
          </cell>
        </row>
        <row r="43">
          <cell r="E43" t="str">
            <v/>
          </cell>
          <cell r="F43" t="str">
            <v/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D86A8-CD6E-435E-BB5F-307D37109BCC}">
  <dimension ref="A1:BT124"/>
  <sheetViews>
    <sheetView tabSelected="1" workbookViewId="0">
      <selection activeCell="A3" sqref="A1:XFD1048576"/>
    </sheetView>
  </sheetViews>
  <sheetFormatPr defaultColWidth="9.140625" defaultRowHeight="15" x14ac:dyDescent="0.3"/>
  <cols>
    <col min="1" max="1" width="4.7109375" style="25" bestFit="1" customWidth="1"/>
    <col min="2" max="2" width="6" style="35" bestFit="1" customWidth="1"/>
    <col min="3" max="3" width="5.42578125" style="41" customWidth="1"/>
    <col min="4" max="4" width="41.5703125" style="35" bestFit="1" customWidth="1"/>
    <col min="5" max="5" width="22.140625" style="35" customWidth="1"/>
    <col min="6" max="6" width="9.140625" style="41"/>
    <col min="7" max="7" width="9.140625" style="35"/>
    <col min="8" max="8" width="11.28515625" style="35" customWidth="1"/>
    <col min="9" max="9" width="14" style="35" customWidth="1"/>
    <col min="10" max="15" width="5.5703125" style="25" customWidth="1"/>
    <col min="16" max="20" width="5.7109375" style="41" customWidth="1"/>
    <col min="21" max="21" width="5.7109375" style="35" customWidth="1"/>
    <col min="22" max="24" width="3.7109375" style="35" customWidth="1"/>
    <col min="25" max="25" width="4.7109375" style="35" customWidth="1"/>
    <col min="26" max="61" width="3.7109375" style="41" customWidth="1"/>
    <col min="62" max="63" width="25.7109375" style="42" customWidth="1"/>
    <col min="64" max="66" width="28" style="42" customWidth="1"/>
    <col min="67" max="67" width="11.85546875" style="43" customWidth="1"/>
    <col min="68" max="68" width="15" style="43" customWidth="1"/>
    <col min="69" max="16384" width="9.140625" style="35"/>
  </cols>
  <sheetData>
    <row r="1" spans="1:68" s="13" customFormat="1" ht="30.75" customHeight="1" x14ac:dyDescent="0.3">
      <c r="A1" s="1"/>
      <c r="B1" s="2" t="s">
        <v>0</v>
      </c>
      <c r="C1" s="3" t="s">
        <v>1</v>
      </c>
      <c r="D1" s="3"/>
      <c r="E1" s="3"/>
      <c r="F1" s="3"/>
      <c r="G1" s="3"/>
      <c r="H1" s="3"/>
      <c r="I1" s="3"/>
      <c r="J1" s="4" t="s">
        <v>2</v>
      </c>
      <c r="K1" s="5"/>
      <c r="L1" s="6"/>
      <c r="M1" s="4" t="s">
        <v>3</v>
      </c>
      <c r="N1" s="5"/>
      <c r="O1" s="5"/>
      <c r="P1" s="6"/>
      <c r="Q1" s="4" t="s">
        <v>4</v>
      </c>
      <c r="R1" s="5"/>
      <c r="S1" s="5"/>
      <c r="T1" s="6"/>
      <c r="U1" s="7" t="s">
        <v>5</v>
      </c>
      <c r="V1" s="4" t="s">
        <v>6</v>
      </c>
      <c r="W1" s="5"/>
      <c r="X1" s="5"/>
      <c r="Y1" s="6"/>
      <c r="Z1" s="8" t="s">
        <v>7</v>
      </c>
      <c r="AA1" s="8" t="s">
        <v>8</v>
      </c>
      <c r="AB1" s="8" t="s">
        <v>9</v>
      </c>
      <c r="AC1" s="8" t="s">
        <v>10</v>
      </c>
      <c r="AD1" s="8" t="s">
        <v>11</v>
      </c>
      <c r="AE1" s="8" t="s">
        <v>12</v>
      </c>
      <c r="AF1" s="8" t="s">
        <v>13</v>
      </c>
      <c r="AG1" s="8" t="s">
        <v>14</v>
      </c>
      <c r="AH1" s="8" t="s">
        <v>15</v>
      </c>
      <c r="AI1" s="8" t="s">
        <v>16</v>
      </c>
      <c r="AJ1" s="8" t="s">
        <v>17</v>
      </c>
      <c r="AK1" s="8" t="s">
        <v>18</v>
      </c>
      <c r="AL1" s="8" t="s">
        <v>19</v>
      </c>
      <c r="AM1" s="8" t="s">
        <v>20</v>
      </c>
      <c r="AN1" s="8" t="s">
        <v>21</v>
      </c>
      <c r="AO1" s="8" t="s">
        <v>22</v>
      </c>
      <c r="AP1" s="8" t="s">
        <v>23</v>
      </c>
      <c r="AQ1" s="8" t="s">
        <v>24</v>
      </c>
      <c r="AR1" s="8" t="s">
        <v>25</v>
      </c>
      <c r="AS1" s="8" t="s">
        <v>26</v>
      </c>
      <c r="AT1" s="8" t="s">
        <v>27</v>
      </c>
      <c r="AU1" s="8" t="s">
        <v>28</v>
      </c>
      <c r="AV1" s="8" t="s">
        <v>29</v>
      </c>
      <c r="AW1" s="8" t="s">
        <v>30</v>
      </c>
      <c r="AX1" s="8" t="s">
        <v>31</v>
      </c>
      <c r="AY1" s="8" t="s">
        <v>32</v>
      </c>
      <c r="AZ1" s="8" t="s">
        <v>33</v>
      </c>
      <c r="BA1" s="8" t="s">
        <v>34</v>
      </c>
      <c r="BB1" s="8" t="s">
        <v>35</v>
      </c>
      <c r="BC1" s="8" t="s">
        <v>36</v>
      </c>
      <c r="BD1" s="8" t="s">
        <v>37</v>
      </c>
      <c r="BE1" s="8" t="s">
        <v>38</v>
      </c>
      <c r="BF1" s="8" t="s">
        <v>39</v>
      </c>
      <c r="BG1" s="8" t="s">
        <v>40</v>
      </c>
      <c r="BH1" s="8" t="s">
        <v>41</v>
      </c>
      <c r="BI1" s="8" t="s">
        <v>42</v>
      </c>
      <c r="BJ1" s="9" t="s">
        <v>43</v>
      </c>
      <c r="BK1" s="10"/>
      <c r="BL1" s="10"/>
      <c r="BM1" s="10"/>
      <c r="BN1" s="11"/>
      <c r="BO1" s="12" t="s">
        <v>44</v>
      </c>
      <c r="BP1" s="12"/>
    </row>
    <row r="2" spans="1:68" s="24" customFormat="1" ht="60" customHeight="1" x14ac:dyDescent="0.3">
      <c r="A2" s="1"/>
      <c r="B2" s="2" t="s">
        <v>45</v>
      </c>
      <c r="C2" s="14" t="s">
        <v>46</v>
      </c>
      <c r="D2" s="15" t="s">
        <v>47</v>
      </c>
      <c r="E2" s="15" t="s">
        <v>48</v>
      </c>
      <c r="F2" s="16" t="s">
        <v>49</v>
      </c>
      <c r="G2" s="17" t="s">
        <v>50</v>
      </c>
      <c r="H2" s="16" t="s">
        <v>51</v>
      </c>
      <c r="I2" s="16" t="s">
        <v>52</v>
      </c>
      <c r="J2" s="2" t="s">
        <v>53</v>
      </c>
      <c r="K2" s="2" t="s">
        <v>54</v>
      </c>
      <c r="L2" s="2" t="s">
        <v>55</v>
      </c>
      <c r="M2" s="2" t="s">
        <v>53</v>
      </c>
      <c r="N2" s="2" t="s">
        <v>54</v>
      </c>
      <c r="O2" s="2" t="s">
        <v>55</v>
      </c>
      <c r="P2" s="2" t="s">
        <v>56</v>
      </c>
      <c r="Q2" s="2" t="s">
        <v>53</v>
      </c>
      <c r="R2" s="2" t="s">
        <v>54</v>
      </c>
      <c r="S2" s="2" t="s">
        <v>55</v>
      </c>
      <c r="T2" s="2" t="s">
        <v>56</v>
      </c>
      <c r="U2" s="18"/>
      <c r="V2" s="2" t="s">
        <v>53</v>
      </c>
      <c r="W2" s="2" t="s">
        <v>54</v>
      </c>
      <c r="X2" s="2" t="s">
        <v>55</v>
      </c>
      <c r="Y2" s="2" t="s">
        <v>56</v>
      </c>
      <c r="Z2" s="19" t="str">
        <f>VLOOKUP(Z1,'[1]04. SET KODE KELAS'!$B$7:$G$55,2,FALSE)</f>
        <v>X TKR 1</v>
      </c>
      <c r="AA2" s="19" t="str">
        <f>VLOOKUP(AA1,'[1]04. SET KODE KELAS'!$B$7:$G$55,2,FALSE)</f>
        <v>X TKR 2</v>
      </c>
      <c r="AB2" s="19" t="str">
        <f>VLOOKUP(AB1,'[1]04. SET KODE KELAS'!$B$7:$G$55,2,FALSE)</f>
        <v>X TKR 3</v>
      </c>
      <c r="AC2" s="19" t="str">
        <f>VLOOKUP(AC1,'[1]04. SET KODE KELAS'!$B$7:$G$55,2,FALSE)</f>
        <v>X TKR 4</v>
      </c>
      <c r="AD2" s="20" t="str">
        <f>VLOOKUP(AD1,'[1]04. SET KODE KELAS'!$B$7:$G$55,2,FALSE)</f>
        <v>X TKJ 1</v>
      </c>
      <c r="AE2" s="20" t="str">
        <f>VLOOKUP(AE1,'[1]04. SET KODE KELAS'!$B$7:$G$55,2,FALSE)</f>
        <v>X TKJ 2</v>
      </c>
      <c r="AF2" s="20" t="str">
        <f>VLOOKUP(AF1,'[1]04. SET KODE KELAS'!$B$7:$G$55,2,FALSE)</f>
        <v>X TKJ 3</v>
      </c>
      <c r="AG2" s="20" t="str">
        <f>VLOOKUP(AG1,'[1]04. SET KODE KELAS'!$B$7:$G$55,2,FALSE)</f>
        <v>X TKJ 4</v>
      </c>
      <c r="AH2" s="20" t="str">
        <f>VLOOKUP(AH1,'[1]04. SET KODE KELAS'!$B$7:$G$55,2,FALSE)</f>
        <v>X DKV 1</v>
      </c>
      <c r="AI2" s="20" t="str">
        <f>VLOOKUP(AI1,'[1]04. SET KODE KELAS'!$B$7:$G$55,2,FALSE)</f>
        <v>X DKV 2</v>
      </c>
      <c r="AJ2" s="20" t="str">
        <f>VLOOKUP(AJ1,'[1]04. SET KODE KELAS'!$B$7:$G$55,2,FALSE)</f>
        <v>X DKV 3</v>
      </c>
      <c r="AK2" s="20" t="str">
        <f>VLOOKUP(AK1,'[1]04. SET KODE KELAS'!$B$7:$G$55,2,FALSE)</f>
        <v>X DKV 4</v>
      </c>
      <c r="AL2" s="20" t="str">
        <f>VLOOKUP(AL1,'[1]04. SET KODE KELAS'!$B$7:$G$55,2,FALSE)</f>
        <v>X MP 1</v>
      </c>
      <c r="AM2" s="20" t="str">
        <f>VLOOKUP(AM1,'[1]04. SET KODE KELAS'!$B$7:$G$55,2,FALSE)</f>
        <v>X MP 2</v>
      </c>
      <c r="AN2" s="20" t="str">
        <f>VLOOKUP(AN1,'[1]04. SET KODE KELAS'!$B$7:$G$55,2,FALSE)</f>
        <v>XI TKR 1</v>
      </c>
      <c r="AO2" s="20" t="str">
        <f>VLOOKUP(AO1,'[1]04. SET KODE KELAS'!$B$7:$G$55,2,FALSE)</f>
        <v>XI TKR 2</v>
      </c>
      <c r="AP2" s="20" t="str">
        <f>VLOOKUP(AP1,'[1]04. SET KODE KELAS'!$B$7:$G$55,2,FALSE)</f>
        <v>XI TKR 3</v>
      </c>
      <c r="AQ2" s="20" t="str">
        <f>VLOOKUP(AQ1,'[1]04. SET KODE KELAS'!$B$7:$G$55,2,FALSE)</f>
        <v>XI TKJ 1</v>
      </c>
      <c r="AR2" s="20" t="str">
        <f>VLOOKUP(AR1,'[1]04. SET KODE KELAS'!$B$7:$G$55,2,FALSE)</f>
        <v>XI TKJ 2</v>
      </c>
      <c r="AS2" s="20" t="str">
        <f>VLOOKUP(AS1,'[1]04. SET KODE KELAS'!$B$7:$G$55,2,FALSE)</f>
        <v>XI TKJ 3</v>
      </c>
      <c r="AT2" s="20" t="str">
        <f>VLOOKUP(AT1,'[1]04. SET KODE KELAS'!$B$7:$G$55,2,FALSE)</f>
        <v>XI DKV 1</v>
      </c>
      <c r="AU2" s="20" t="str">
        <f>VLOOKUP(AU1,'[1]04. SET KODE KELAS'!$B$7:$G$55,2,FALSE)</f>
        <v>XI DKV 2</v>
      </c>
      <c r="AV2" s="20" t="str">
        <f>VLOOKUP(AV1,'[1]04. SET KODE KELAS'!$B$7:$G$55,2,FALSE)</f>
        <v>XI DKV 3</v>
      </c>
      <c r="AW2" s="20" t="str">
        <f>VLOOKUP(AW1,'[1]04. SET KODE KELAS'!$B$7:$G$55,2,FALSE)</f>
        <v>XI MP 1</v>
      </c>
      <c r="AX2" s="20" t="str">
        <f>VLOOKUP(AX1,'[1]04. SET KODE KELAS'!$B$7:$G$55,2,FALSE)</f>
        <v>XI MP 2</v>
      </c>
      <c r="AY2" s="20" t="str">
        <f>VLOOKUP(AY1,'[1]04. SET KODE KELAS'!$B$7:$G$55,2,FALSE)</f>
        <v>XII TKR 1</v>
      </c>
      <c r="AZ2" s="20" t="str">
        <f>VLOOKUP(AZ1,'[1]04. SET KODE KELAS'!$B$7:$G$55,2,FALSE)</f>
        <v>XII TKR 2</v>
      </c>
      <c r="BA2" s="20" t="str">
        <f>VLOOKUP(BA1,'[1]04. SET KODE KELAS'!$B$7:$G$55,2,FALSE)</f>
        <v>XII TKR 3</v>
      </c>
      <c r="BB2" s="20" t="str">
        <f>VLOOKUP(BB1,'[1]04. SET KODE KELAS'!$B$7:$G$55,2,FALSE)</f>
        <v>XII TKJ 1</v>
      </c>
      <c r="BC2" s="20" t="str">
        <f>VLOOKUP(BC1,'[1]04. SET KODE KELAS'!$B$7:$G$55,2,FALSE)</f>
        <v>XII TKJ 2</v>
      </c>
      <c r="BD2" s="20" t="str">
        <f>VLOOKUP(BD1,'[1]04. SET KODE KELAS'!$B$7:$G$55,2,FALSE)</f>
        <v>XII TKJ 3</v>
      </c>
      <c r="BE2" s="20" t="str">
        <f>VLOOKUP(BE1,'[1]04. SET KODE KELAS'!$B$7:$G$55,2,FALSE)</f>
        <v>XII DKV 1</v>
      </c>
      <c r="BF2" s="20" t="str">
        <f>VLOOKUP(BF1,'[1]04. SET KODE KELAS'!$B$7:$G$55,2,FALSE)</f>
        <v>XII DKV 2</v>
      </c>
      <c r="BG2" s="20" t="str">
        <f>VLOOKUP(BG1,'[1]04. SET KODE KELAS'!$B$7:$G$55,2,FALSE)</f>
        <v>XII DKV 3</v>
      </c>
      <c r="BH2" s="20" t="str">
        <f>VLOOKUP(BH1,'[1]04. SET KODE KELAS'!$B$7:$G$55,2,FALSE)</f>
        <v>XII MP 1</v>
      </c>
      <c r="BI2" s="20" t="str">
        <f>VLOOKUP(BI1,'[1]04. SET KODE KELAS'!$B$7:$G$55,2,FALSE)</f>
        <v>XII MP 2</v>
      </c>
      <c r="BJ2" s="21" t="s">
        <v>57</v>
      </c>
      <c r="BK2" s="21" t="s">
        <v>58</v>
      </c>
      <c r="BL2" s="22" t="s">
        <v>59</v>
      </c>
      <c r="BM2" s="22" t="s">
        <v>60</v>
      </c>
      <c r="BN2" s="22" t="s">
        <v>61</v>
      </c>
      <c r="BO2" s="23" t="s">
        <v>62</v>
      </c>
      <c r="BP2" s="23" t="s">
        <v>63</v>
      </c>
    </row>
    <row r="3" spans="1:68" ht="12.95" customHeight="1" x14ac:dyDescent="0.3">
      <c r="A3" s="25">
        <v>1</v>
      </c>
      <c r="B3" s="26" t="s">
        <v>64</v>
      </c>
      <c r="C3" s="27" t="s">
        <v>65</v>
      </c>
      <c r="D3" s="28" t="s">
        <v>66</v>
      </c>
      <c r="E3" s="26" t="str">
        <f>IFERROR(VLOOKUP($D3,[1]DUK!$B$2:$D$57,3,FALSE),"")</f>
        <v>198111162023062001</v>
      </c>
      <c r="F3" s="27" t="s">
        <v>67</v>
      </c>
      <c r="G3" s="28" t="s">
        <v>68</v>
      </c>
      <c r="H3" s="29" t="str">
        <f>VLOOKUP(G3,'[1]03. DAFTAR MAPEL'!$C$3:$E$68,2,FALSE)</f>
        <v>PABP</v>
      </c>
      <c r="I3" s="30" t="s">
        <v>69</v>
      </c>
      <c r="J3" s="27">
        <v>3</v>
      </c>
      <c r="K3" s="27">
        <v>3</v>
      </c>
      <c r="L3" s="27">
        <v>3</v>
      </c>
      <c r="M3" s="31">
        <f t="shared" ref="M3:M9" si="0">J3*14</f>
        <v>42</v>
      </c>
      <c r="N3" s="31">
        <f>K3*11</f>
        <v>33</v>
      </c>
      <c r="O3" s="31">
        <f>L3*11</f>
        <v>33</v>
      </c>
      <c r="P3" s="31">
        <f>SUM(M3:O3)</f>
        <v>108</v>
      </c>
      <c r="Q3" s="27">
        <v>30</v>
      </c>
      <c r="R3" s="27">
        <v>0</v>
      </c>
      <c r="S3" s="27">
        <v>6</v>
      </c>
      <c r="T3" s="27">
        <f>SUM(Q3:S3)</f>
        <v>36</v>
      </c>
      <c r="U3" s="27" t="str">
        <f>IF(T3=Y3,"OK","CEK")</f>
        <v>OK</v>
      </c>
      <c r="V3" s="27">
        <f>SUM(Z3:AM3)</f>
        <v>30</v>
      </c>
      <c r="W3" s="27">
        <f>SUM(AN3:AX3)</f>
        <v>0</v>
      </c>
      <c r="X3" s="27">
        <f>SUM(AY3:BI3)</f>
        <v>6</v>
      </c>
      <c r="Y3" s="27">
        <f>SUM(V3:X3)</f>
        <v>36</v>
      </c>
      <c r="Z3" s="32"/>
      <c r="AA3" s="32"/>
      <c r="AB3" s="32"/>
      <c r="AC3" s="32"/>
      <c r="AD3" s="32">
        <v>3</v>
      </c>
      <c r="AE3" s="32">
        <v>3</v>
      </c>
      <c r="AF3" s="32">
        <v>3</v>
      </c>
      <c r="AG3" s="32">
        <v>3</v>
      </c>
      <c r="AH3" s="32">
        <v>3</v>
      </c>
      <c r="AI3" s="32">
        <v>3</v>
      </c>
      <c r="AJ3" s="32">
        <v>3</v>
      </c>
      <c r="AK3" s="32">
        <v>3</v>
      </c>
      <c r="AL3" s="32">
        <v>3</v>
      </c>
      <c r="AM3" s="32">
        <v>3</v>
      </c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>
        <v>3</v>
      </c>
      <c r="BC3" s="32"/>
      <c r="BD3" s="32"/>
      <c r="BE3" s="32"/>
      <c r="BF3" s="32">
        <v>3</v>
      </c>
      <c r="BG3" s="32"/>
      <c r="BH3" s="32"/>
      <c r="BI3" s="32"/>
      <c r="BJ3" s="33"/>
      <c r="BK3" s="33" t="s">
        <v>70</v>
      </c>
      <c r="BL3" s="34"/>
      <c r="BM3" s="34"/>
      <c r="BN3" s="34"/>
      <c r="BO3" s="27"/>
      <c r="BP3" s="27"/>
    </row>
    <row r="4" spans="1:68" x14ac:dyDescent="0.3">
      <c r="A4" s="25">
        <v>2</v>
      </c>
      <c r="B4" s="26" t="s">
        <v>71</v>
      </c>
      <c r="C4" s="27" t="s">
        <v>72</v>
      </c>
      <c r="D4" s="28" t="s">
        <v>73</v>
      </c>
      <c r="E4" s="26" t="str">
        <f>IFERROR(VLOOKUP($D4,[1]DUK!$B$2:$D$57,3,FALSE),"")</f>
        <v>197808102023211003</v>
      </c>
      <c r="F4" s="27" t="s">
        <v>67</v>
      </c>
      <c r="G4" s="28" t="s">
        <v>68</v>
      </c>
      <c r="H4" s="29" t="str">
        <f>VLOOKUP(G4,'[1]03. DAFTAR MAPEL'!$C$3:$E$68,2,FALSE)</f>
        <v>PABP</v>
      </c>
      <c r="I4" s="30" t="s">
        <v>74</v>
      </c>
      <c r="J4" s="27">
        <v>3</v>
      </c>
      <c r="K4" s="27">
        <v>3</v>
      </c>
      <c r="L4" s="27">
        <v>3</v>
      </c>
      <c r="M4" s="31">
        <f t="shared" si="0"/>
        <v>42</v>
      </c>
      <c r="N4" s="31">
        <f t="shared" ref="M4:O16" si="1">K4*11</f>
        <v>33</v>
      </c>
      <c r="O4" s="31">
        <f t="shared" si="1"/>
        <v>33</v>
      </c>
      <c r="P4" s="31">
        <f t="shared" ref="P4:P68" si="2">SUM(M4:O4)</f>
        <v>108</v>
      </c>
      <c r="Q4" s="27">
        <v>0</v>
      </c>
      <c r="R4" s="27">
        <v>15</v>
      </c>
      <c r="S4" s="27">
        <v>21</v>
      </c>
      <c r="T4" s="27">
        <f t="shared" ref="T4:T68" si="3">SUM(Q4:S4)</f>
        <v>36</v>
      </c>
      <c r="U4" s="27" t="str">
        <f t="shared" ref="U4:U68" si="4">IF(T4=Y4,"OK","CEK")</f>
        <v>OK</v>
      </c>
      <c r="V4" s="27">
        <f t="shared" ref="V4:V56" si="5">SUM(Z4:AM4)</f>
        <v>0</v>
      </c>
      <c r="W4" s="27">
        <f t="shared" ref="W4:W56" si="6">SUM(AN4:AX4)</f>
        <v>15</v>
      </c>
      <c r="X4" s="27">
        <f t="shared" ref="X4:X56" si="7">SUM(AY4:BI4)</f>
        <v>21</v>
      </c>
      <c r="Y4" s="27">
        <f t="shared" ref="Y4:Y56" si="8">SUM(V4:X4)</f>
        <v>36</v>
      </c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>
        <v>3</v>
      </c>
      <c r="AO4" s="32">
        <v>3</v>
      </c>
      <c r="AP4" s="32">
        <v>3</v>
      </c>
      <c r="AQ4" s="32"/>
      <c r="AR4" s="32"/>
      <c r="AS4" s="32"/>
      <c r="AT4" s="32">
        <v>3</v>
      </c>
      <c r="AU4" s="32">
        <v>3</v>
      </c>
      <c r="AV4" s="32"/>
      <c r="AW4" s="32"/>
      <c r="AX4" s="32"/>
      <c r="AY4" s="32"/>
      <c r="AZ4" s="32"/>
      <c r="BA4" s="32">
        <v>3</v>
      </c>
      <c r="BB4" s="32"/>
      <c r="BC4" s="32">
        <v>3</v>
      </c>
      <c r="BD4" s="32">
        <v>3</v>
      </c>
      <c r="BE4" s="32">
        <v>3</v>
      </c>
      <c r="BF4" s="32"/>
      <c r="BG4" s="32">
        <v>3</v>
      </c>
      <c r="BH4" s="32">
        <v>3</v>
      </c>
      <c r="BI4" s="32">
        <v>3</v>
      </c>
      <c r="BJ4" s="33" t="s">
        <v>75</v>
      </c>
      <c r="BK4" s="33"/>
      <c r="BL4" s="34"/>
      <c r="BM4" s="34"/>
      <c r="BN4" s="34"/>
      <c r="BO4" s="27"/>
      <c r="BP4" s="27"/>
    </row>
    <row r="5" spans="1:68" x14ac:dyDescent="0.3">
      <c r="A5" s="25">
        <v>3</v>
      </c>
      <c r="B5" s="26" t="s">
        <v>76</v>
      </c>
      <c r="C5" s="27" t="s">
        <v>77</v>
      </c>
      <c r="D5" s="28" t="s">
        <v>78</v>
      </c>
      <c r="E5" s="26" t="str">
        <f>IFERROR(VLOOKUP($D5,[1]DUK!$B$2:$D$57,3,FALSE),"")</f>
        <v>199406202024212034</v>
      </c>
      <c r="F5" s="27" t="s">
        <v>67</v>
      </c>
      <c r="G5" s="28" t="s">
        <v>68</v>
      </c>
      <c r="H5" s="29" t="str">
        <f>VLOOKUP(G5,'[1]03. DAFTAR MAPEL'!$C$3:$E$68,2,FALSE)</f>
        <v>PABP</v>
      </c>
      <c r="I5" s="30" t="s">
        <v>79</v>
      </c>
      <c r="J5" s="27">
        <v>3</v>
      </c>
      <c r="K5" s="27">
        <v>3</v>
      </c>
      <c r="L5" s="27">
        <v>3</v>
      </c>
      <c r="M5" s="31">
        <f t="shared" si="0"/>
        <v>42</v>
      </c>
      <c r="N5" s="31">
        <f t="shared" si="1"/>
        <v>33</v>
      </c>
      <c r="O5" s="31">
        <f t="shared" si="1"/>
        <v>33</v>
      </c>
      <c r="P5" s="31">
        <f t="shared" si="2"/>
        <v>108</v>
      </c>
      <c r="Q5" s="27">
        <v>12</v>
      </c>
      <c r="R5" s="27">
        <v>18</v>
      </c>
      <c r="S5" s="27">
        <v>6</v>
      </c>
      <c r="T5" s="27">
        <f t="shared" si="3"/>
        <v>36</v>
      </c>
      <c r="U5" s="27" t="str">
        <f t="shared" si="4"/>
        <v>OK</v>
      </c>
      <c r="V5" s="27">
        <f t="shared" si="5"/>
        <v>12</v>
      </c>
      <c r="W5" s="27">
        <f t="shared" si="6"/>
        <v>18</v>
      </c>
      <c r="X5" s="27">
        <f t="shared" si="7"/>
        <v>6</v>
      </c>
      <c r="Y5" s="27">
        <f t="shared" si="8"/>
        <v>36</v>
      </c>
      <c r="Z5" s="32">
        <v>3</v>
      </c>
      <c r="AA5" s="32">
        <v>3</v>
      </c>
      <c r="AB5" s="32">
        <v>3</v>
      </c>
      <c r="AC5" s="32">
        <v>3</v>
      </c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>
        <v>3</v>
      </c>
      <c r="AR5" s="32">
        <v>3</v>
      </c>
      <c r="AS5" s="32">
        <v>3</v>
      </c>
      <c r="AT5" s="32"/>
      <c r="AU5" s="32"/>
      <c r="AV5" s="32">
        <v>3</v>
      </c>
      <c r="AW5" s="32">
        <v>3</v>
      </c>
      <c r="AX5" s="32">
        <v>3</v>
      </c>
      <c r="AY5" s="32">
        <v>3</v>
      </c>
      <c r="AZ5" s="32">
        <v>3</v>
      </c>
      <c r="BA5" s="32"/>
      <c r="BB5" s="32"/>
      <c r="BC5" s="32"/>
      <c r="BD5" s="32"/>
      <c r="BE5" s="32"/>
      <c r="BF5" s="32"/>
      <c r="BG5" s="32"/>
      <c r="BH5" s="32"/>
      <c r="BI5" s="32"/>
      <c r="BJ5" s="33"/>
      <c r="BK5" s="33" t="s">
        <v>80</v>
      </c>
      <c r="BL5" s="34"/>
      <c r="BM5" s="34" t="s">
        <v>81</v>
      </c>
      <c r="BN5" s="34"/>
      <c r="BO5" s="27"/>
      <c r="BP5" s="27"/>
    </row>
    <row r="6" spans="1:68" ht="12.95" customHeight="1" x14ac:dyDescent="0.3">
      <c r="A6" s="25">
        <v>4</v>
      </c>
      <c r="B6" s="26" t="s">
        <v>82</v>
      </c>
      <c r="C6" s="27" t="s">
        <v>83</v>
      </c>
      <c r="D6" s="28" t="s">
        <v>84</v>
      </c>
      <c r="E6" s="26" t="str">
        <f>IFERROR(VLOOKUP($D6,[1]DUK!$B$2:$D$57,3,FALSE),"")</f>
        <v>197403182022212002</v>
      </c>
      <c r="F6" s="27" t="s">
        <v>67</v>
      </c>
      <c r="G6" s="28" t="s">
        <v>85</v>
      </c>
      <c r="H6" s="29" t="str">
        <f>VLOOKUP(G6,'[1]03. DAFTAR MAPEL'!$C$3:$E$68,2,FALSE)</f>
        <v>PP</v>
      </c>
      <c r="I6" s="30" t="s">
        <v>86</v>
      </c>
      <c r="J6" s="27">
        <v>2</v>
      </c>
      <c r="K6" s="27">
        <v>2</v>
      </c>
      <c r="L6" s="27">
        <v>2</v>
      </c>
      <c r="M6" s="27">
        <f t="shared" si="0"/>
        <v>28</v>
      </c>
      <c r="N6" s="27">
        <f t="shared" si="1"/>
        <v>22</v>
      </c>
      <c r="O6" s="31">
        <f t="shared" si="1"/>
        <v>22</v>
      </c>
      <c r="P6" s="27">
        <f t="shared" si="2"/>
        <v>72</v>
      </c>
      <c r="Q6" s="27">
        <v>6</v>
      </c>
      <c r="R6" s="27">
        <v>8</v>
      </c>
      <c r="S6" s="27">
        <v>8</v>
      </c>
      <c r="T6" s="27">
        <f t="shared" si="3"/>
        <v>22</v>
      </c>
      <c r="U6" s="27" t="str">
        <f t="shared" si="4"/>
        <v>OK</v>
      </c>
      <c r="V6" s="27">
        <f t="shared" si="5"/>
        <v>6</v>
      </c>
      <c r="W6" s="27">
        <f t="shared" si="6"/>
        <v>8</v>
      </c>
      <c r="X6" s="27">
        <f t="shared" si="7"/>
        <v>8</v>
      </c>
      <c r="Y6" s="27">
        <f t="shared" si="8"/>
        <v>22</v>
      </c>
      <c r="Z6" s="32"/>
      <c r="AA6" s="32"/>
      <c r="AB6" s="32">
        <v>2</v>
      </c>
      <c r="AC6" s="32"/>
      <c r="AD6" s="32"/>
      <c r="AE6" s="32"/>
      <c r="AF6" s="32"/>
      <c r="AG6" s="32"/>
      <c r="AH6" s="32"/>
      <c r="AI6" s="32"/>
      <c r="AJ6" s="32">
        <v>2</v>
      </c>
      <c r="AK6" s="32"/>
      <c r="AL6" s="32"/>
      <c r="AM6" s="32">
        <v>2</v>
      </c>
      <c r="AN6" s="32"/>
      <c r="AO6" s="32">
        <v>2</v>
      </c>
      <c r="AP6" s="32"/>
      <c r="AQ6" s="32"/>
      <c r="AR6" s="32"/>
      <c r="AS6" s="32">
        <v>2</v>
      </c>
      <c r="AT6" s="32"/>
      <c r="AU6" s="32"/>
      <c r="AV6" s="32">
        <v>2</v>
      </c>
      <c r="AW6" s="32">
        <v>2</v>
      </c>
      <c r="AX6" s="32"/>
      <c r="AY6" s="32"/>
      <c r="AZ6" s="32"/>
      <c r="BA6" s="32"/>
      <c r="BB6" s="32">
        <v>2</v>
      </c>
      <c r="BC6" s="32">
        <v>2</v>
      </c>
      <c r="BD6" s="32"/>
      <c r="BE6" s="32">
        <v>2</v>
      </c>
      <c r="BF6" s="32">
        <v>2</v>
      </c>
      <c r="BG6" s="32"/>
      <c r="BH6" s="32"/>
      <c r="BI6" s="32"/>
      <c r="BJ6" s="33"/>
      <c r="BK6" s="33" t="s">
        <v>87</v>
      </c>
      <c r="BL6" s="34"/>
      <c r="BM6" s="34" t="s">
        <v>88</v>
      </c>
      <c r="BN6" s="34"/>
      <c r="BO6" s="27"/>
      <c r="BP6" s="27"/>
    </row>
    <row r="7" spans="1:68" ht="12.95" customHeight="1" x14ac:dyDescent="0.3">
      <c r="A7" s="25">
        <v>5</v>
      </c>
      <c r="B7" s="26" t="s">
        <v>89</v>
      </c>
      <c r="C7" s="27" t="s">
        <v>90</v>
      </c>
      <c r="D7" s="28" t="s">
        <v>84</v>
      </c>
      <c r="E7" s="26" t="str">
        <f>IFERROR(VLOOKUP($D7,[1]DUK!$B$2:$D$57,3,FALSE),"")</f>
        <v>197403182022212002</v>
      </c>
      <c r="F7" s="27" t="s">
        <v>67</v>
      </c>
      <c r="G7" s="28" t="s">
        <v>91</v>
      </c>
      <c r="H7" s="29" t="str">
        <f>VLOOKUP(G7,'[1]03. DAFTAR MAPEL'!$C$3:$E$68,2,FALSE)</f>
        <v>B. INDO</v>
      </c>
      <c r="I7" s="30" t="s">
        <v>86</v>
      </c>
      <c r="J7" s="27">
        <v>4</v>
      </c>
      <c r="K7" s="27">
        <v>3</v>
      </c>
      <c r="L7" s="27">
        <v>3</v>
      </c>
      <c r="M7" s="27">
        <f t="shared" si="0"/>
        <v>56</v>
      </c>
      <c r="N7" s="27">
        <f t="shared" si="1"/>
        <v>33</v>
      </c>
      <c r="O7" s="31">
        <f t="shared" si="1"/>
        <v>33</v>
      </c>
      <c r="P7" s="27">
        <f t="shared" si="2"/>
        <v>122</v>
      </c>
      <c r="Q7" s="27">
        <v>12</v>
      </c>
      <c r="R7" s="27">
        <v>0</v>
      </c>
      <c r="S7" s="27">
        <v>6</v>
      </c>
      <c r="T7" s="27">
        <f t="shared" si="3"/>
        <v>18</v>
      </c>
      <c r="U7" s="27" t="str">
        <f t="shared" si="4"/>
        <v>OK</v>
      </c>
      <c r="V7" s="27">
        <f t="shared" si="5"/>
        <v>12</v>
      </c>
      <c r="W7" s="27">
        <f t="shared" si="6"/>
        <v>0</v>
      </c>
      <c r="X7" s="27">
        <f t="shared" si="7"/>
        <v>6</v>
      </c>
      <c r="Y7" s="27">
        <f t="shared" si="8"/>
        <v>18</v>
      </c>
      <c r="Z7" s="32"/>
      <c r="AA7" s="32"/>
      <c r="AB7" s="32">
        <v>4</v>
      </c>
      <c r="AC7" s="32">
        <v>4</v>
      </c>
      <c r="AD7" s="32"/>
      <c r="AE7" s="32"/>
      <c r="AF7" s="32"/>
      <c r="AG7" s="32">
        <v>4</v>
      </c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>
        <v>3</v>
      </c>
      <c r="BF7" s="32">
        <v>3</v>
      </c>
      <c r="BG7" s="32"/>
      <c r="BH7" s="32"/>
      <c r="BI7" s="32"/>
      <c r="BJ7" s="33"/>
      <c r="BK7" s="33" t="s">
        <v>87</v>
      </c>
      <c r="BL7" s="34"/>
      <c r="BM7" s="34" t="s">
        <v>88</v>
      </c>
      <c r="BN7" s="34"/>
      <c r="BO7" s="27"/>
      <c r="BP7" s="27"/>
    </row>
    <row r="8" spans="1:68" x14ac:dyDescent="0.3">
      <c r="A8" s="25">
        <v>6</v>
      </c>
      <c r="B8" s="26" t="s">
        <v>92</v>
      </c>
      <c r="C8" s="27" t="s">
        <v>93</v>
      </c>
      <c r="D8" s="28" t="s">
        <v>94</v>
      </c>
      <c r="E8" s="26" t="str">
        <f>IFERROR(VLOOKUP($D8,[1]DUK!$B$2:$D$57,3,FALSE),"")</f>
        <v>197708092022211003</v>
      </c>
      <c r="F8" s="27" t="s">
        <v>67</v>
      </c>
      <c r="G8" s="28" t="s">
        <v>85</v>
      </c>
      <c r="H8" s="29" t="str">
        <f>VLOOKUP(G8,'[1]03. DAFTAR MAPEL'!$C$3:$E$68,2,FALSE)</f>
        <v>PP</v>
      </c>
      <c r="I8" s="30" t="s">
        <v>95</v>
      </c>
      <c r="J8" s="27">
        <v>2</v>
      </c>
      <c r="K8" s="27">
        <v>2</v>
      </c>
      <c r="L8" s="27">
        <v>2</v>
      </c>
      <c r="M8" s="27">
        <f t="shared" si="0"/>
        <v>28</v>
      </c>
      <c r="N8" s="27">
        <f t="shared" si="1"/>
        <v>22</v>
      </c>
      <c r="O8" s="31">
        <f t="shared" si="1"/>
        <v>22</v>
      </c>
      <c r="P8" s="27">
        <f t="shared" si="2"/>
        <v>72</v>
      </c>
      <c r="Q8" s="27">
        <v>12</v>
      </c>
      <c r="R8" s="27">
        <v>14</v>
      </c>
      <c r="S8" s="27">
        <v>14</v>
      </c>
      <c r="T8" s="27">
        <f t="shared" si="3"/>
        <v>40</v>
      </c>
      <c r="U8" s="27" t="str">
        <f t="shared" si="4"/>
        <v>OK</v>
      </c>
      <c r="V8" s="27">
        <f t="shared" si="5"/>
        <v>12</v>
      </c>
      <c r="W8" s="27">
        <f t="shared" si="6"/>
        <v>14</v>
      </c>
      <c r="X8" s="27">
        <f t="shared" si="7"/>
        <v>14</v>
      </c>
      <c r="Y8" s="27">
        <f t="shared" si="8"/>
        <v>40</v>
      </c>
      <c r="Z8" s="32"/>
      <c r="AA8" s="32"/>
      <c r="AB8" s="32"/>
      <c r="AC8" s="32"/>
      <c r="AD8" s="32">
        <v>2</v>
      </c>
      <c r="AE8" s="32">
        <v>2</v>
      </c>
      <c r="AF8" s="32"/>
      <c r="AG8" s="32">
        <v>2</v>
      </c>
      <c r="AH8" s="32"/>
      <c r="AI8" s="32">
        <v>2</v>
      </c>
      <c r="AJ8" s="32"/>
      <c r="AK8" s="32">
        <v>2</v>
      </c>
      <c r="AL8" s="32">
        <v>2</v>
      </c>
      <c r="AM8" s="32"/>
      <c r="AN8" s="32">
        <v>2</v>
      </c>
      <c r="AO8" s="32"/>
      <c r="AP8" s="32">
        <v>2</v>
      </c>
      <c r="AQ8" s="32">
        <v>2</v>
      </c>
      <c r="AR8" s="32">
        <v>2</v>
      </c>
      <c r="AS8" s="32"/>
      <c r="AT8" s="32">
        <v>2</v>
      </c>
      <c r="AU8" s="32">
        <v>2</v>
      </c>
      <c r="AV8" s="32"/>
      <c r="AW8" s="32"/>
      <c r="AX8" s="32">
        <v>2</v>
      </c>
      <c r="AY8" s="32">
        <v>2</v>
      </c>
      <c r="AZ8" s="32">
        <v>2</v>
      </c>
      <c r="BA8" s="32">
        <v>2</v>
      </c>
      <c r="BB8" s="32"/>
      <c r="BC8" s="32"/>
      <c r="BD8" s="32">
        <v>2</v>
      </c>
      <c r="BE8" s="32"/>
      <c r="BF8" s="32"/>
      <c r="BG8" s="32">
        <v>2</v>
      </c>
      <c r="BH8" s="32">
        <v>2</v>
      </c>
      <c r="BI8" s="32">
        <v>2</v>
      </c>
      <c r="BJ8" s="33"/>
      <c r="BK8" s="33" t="s">
        <v>96</v>
      </c>
      <c r="BL8" s="34"/>
      <c r="BM8" s="34"/>
      <c r="BN8" s="34"/>
      <c r="BO8" s="27"/>
      <c r="BP8" s="27"/>
    </row>
    <row r="9" spans="1:68" x14ac:dyDescent="0.3">
      <c r="A9" s="25">
        <v>7</v>
      </c>
      <c r="B9" s="26" t="s">
        <v>97</v>
      </c>
      <c r="C9" s="27" t="s">
        <v>98</v>
      </c>
      <c r="D9" s="28" t="s">
        <v>99</v>
      </c>
      <c r="E9" s="26" t="str">
        <f>IFERROR(VLOOKUP($D9,[1]DUK!$B$2:$D$57,3,FALSE),"")</f>
        <v>199111092025212122</v>
      </c>
      <c r="F9" s="27" t="s">
        <v>100</v>
      </c>
      <c r="G9" s="28" t="s">
        <v>85</v>
      </c>
      <c r="H9" s="29" t="str">
        <f>VLOOKUP(G9,'[1]03. DAFTAR MAPEL'!$C$3:$E$68,2,FALSE)</f>
        <v>PP</v>
      </c>
      <c r="I9" s="30" t="s">
        <v>101</v>
      </c>
      <c r="J9" s="27">
        <v>2</v>
      </c>
      <c r="K9" s="27">
        <v>2</v>
      </c>
      <c r="L9" s="27">
        <v>2</v>
      </c>
      <c r="M9" s="27">
        <f t="shared" si="0"/>
        <v>28</v>
      </c>
      <c r="N9" s="27">
        <f t="shared" si="1"/>
        <v>22</v>
      </c>
      <c r="O9" s="31">
        <f t="shared" si="1"/>
        <v>22</v>
      </c>
      <c r="P9" s="27">
        <f t="shared" si="2"/>
        <v>72</v>
      </c>
      <c r="Q9" s="27">
        <v>10</v>
      </c>
      <c r="R9" s="27">
        <v>0</v>
      </c>
      <c r="S9" s="27">
        <v>0</v>
      </c>
      <c r="T9" s="27">
        <f t="shared" si="3"/>
        <v>10</v>
      </c>
      <c r="U9" s="27" t="str">
        <f t="shared" si="4"/>
        <v>OK</v>
      </c>
      <c r="V9" s="27">
        <f t="shared" si="5"/>
        <v>10</v>
      </c>
      <c r="W9" s="27">
        <f t="shared" si="6"/>
        <v>0</v>
      </c>
      <c r="X9" s="27">
        <f t="shared" si="7"/>
        <v>0</v>
      </c>
      <c r="Y9" s="27">
        <f t="shared" si="8"/>
        <v>10</v>
      </c>
      <c r="Z9" s="32">
        <v>2</v>
      </c>
      <c r="AA9" s="32">
        <v>2</v>
      </c>
      <c r="AB9" s="32"/>
      <c r="AC9" s="32">
        <v>2</v>
      </c>
      <c r="AD9" s="32"/>
      <c r="AE9" s="32"/>
      <c r="AF9" s="32">
        <v>2</v>
      </c>
      <c r="AG9" s="32"/>
      <c r="AH9" s="32">
        <v>2</v>
      </c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3"/>
      <c r="BK9" s="33" t="s">
        <v>102</v>
      </c>
      <c r="BL9" s="34"/>
      <c r="BM9" s="34"/>
      <c r="BN9" s="34"/>
      <c r="BO9" s="27"/>
      <c r="BP9" s="27"/>
    </row>
    <row r="10" spans="1:68" x14ac:dyDescent="0.3">
      <c r="A10" s="25">
        <v>8</v>
      </c>
      <c r="B10" s="26" t="s">
        <v>103</v>
      </c>
      <c r="C10" s="27" t="s">
        <v>104</v>
      </c>
      <c r="D10" s="28" t="s">
        <v>99</v>
      </c>
      <c r="E10" s="26" t="str">
        <f>IFERROR(VLOOKUP($D10,[1]DUK!$B$2:$D$57,3,FALSE),"")</f>
        <v>199111092025212122</v>
      </c>
      <c r="F10" s="27" t="s">
        <v>100</v>
      </c>
      <c r="G10" s="28" t="s">
        <v>105</v>
      </c>
      <c r="H10" s="29" t="str">
        <f>VLOOKUP(G10,'[1]03. DAFTAR MAPEL'!$C$3:$E$68,2,FALSE)</f>
        <v>SEJ</v>
      </c>
      <c r="I10" s="30" t="s">
        <v>101</v>
      </c>
      <c r="J10" s="27">
        <v>2</v>
      </c>
      <c r="K10" s="27">
        <v>2</v>
      </c>
      <c r="L10" s="27">
        <v>0</v>
      </c>
      <c r="M10" s="27">
        <f>J10*12</f>
        <v>24</v>
      </c>
      <c r="N10" s="27">
        <f t="shared" si="1"/>
        <v>22</v>
      </c>
      <c r="O10" s="31">
        <f>L10*11</f>
        <v>0</v>
      </c>
      <c r="P10" s="27">
        <f t="shared" si="2"/>
        <v>46</v>
      </c>
      <c r="Q10" s="27">
        <v>0</v>
      </c>
      <c r="R10" s="27">
        <v>20</v>
      </c>
      <c r="S10" s="27">
        <v>0</v>
      </c>
      <c r="T10" s="27">
        <f>SUM(Q10:S10)</f>
        <v>20</v>
      </c>
      <c r="U10" s="27" t="str">
        <f>IF(T10=Y10,"OK","CEK")</f>
        <v>OK</v>
      </c>
      <c r="V10" s="27">
        <f>SUM(Z10:AM10)</f>
        <v>0</v>
      </c>
      <c r="W10" s="27">
        <f>SUM(AN10:AX10)</f>
        <v>20</v>
      </c>
      <c r="X10" s="27">
        <f>SUM(AY10:BI10)</f>
        <v>0</v>
      </c>
      <c r="Y10" s="27">
        <f>SUM(V10:X10)</f>
        <v>20</v>
      </c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>
        <v>2</v>
      </c>
      <c r="AO10" s="32">
        <v>2</v>
      </c>
      <c r="AP10" s="32">
        <v>2</v>
      </c>
      <c r="AQ10" s="32">
        <v>2</v>
      </c>
      <c r="AR10" s="32"/>
      <c r="AS10" s="32">
        <v>2</v>
      </c>
      <c r="AT10" s="32">
        <v>2</v>
      </c>
      <c r="AU10" s="32">
        <v>2</v>
      </c>
      <c r="AV10" s="32">
        <v>2</v>
      </c>
      <c r="AW10" s="32">
        <v>2</v>
      </c>
      <c r="AX10" s="32">
        <v>2</v>
      </c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3"/>
      <c r="BK10" s="33" t="s">
        <v>102</v>
      </c>
      <c r="BL10" s="34"/>
      <c r="BM10" s="34"/>
      <c r="BN10" s="34"/>
      <c r="BO10" s="27"/>
      <c r="BP10" s="27"/>
    </row>
    <row r="11" spans="1:68" ht="12.95" customHeight="1" x14ac:dyDescent="0.3">
      <c r="A11" s="25">
        <v>9</v>
      </c>
      <c r="B11" s="26" t="s">
        <v>106</v>
      </c>
      <c r="C11" s="27" t="s">
        <v>107</v>
      </c>
      <c r="D11" s="28" t="s">
        <v>108</v>
      </c>
      <c r="E11" s="26" t="str">
        <f>IFERROR(VLOOKUP($D11,[1]DUK!$B$2:$D$57,3,FALSE),"")</f>
        <v>197511272021212002</v>
      </c>
      <c r="F11" s="27" t="s">
        <v>67</v>
      </c>
      <c r="G11" s="28" t="s">
        <v>91</v>
      </c>
      <c r="H11" s="29" t="str">
        <f>VLOOKUP(G11,'[1]03. DAFTAR MAPEL'!$C$3:$E$68,2,FALSE)</f>
        <v>B. INDO</v>
      </c>
      <c r="I11" s="30" t="s">
        <v>109</v>
      </c>
      <c r="J11" s="27">
        <v>4</v>
      </c>
      <c r="K11" s="27">
        <v>3</v>
      </c>
      <c r="L11" s="27">
        <v>3</v>
      </c>
      <c r="M11" s="27">
        <f>J11*14</f>
        <v>56</v>
      </c>
      <c r="N11" s="27">
        <f>K11*11</f>
        <v>33</v>
      </c>
      <c r="O11" s="31">
        <f t="shared" si="1"/>
        <v>33</v>
      </c>
      <c r="P11" s="27">
        <f t="shared" si="2"/>
        <v>122</v>
      </c>
      <c r="Q11" s="27">
        <v>8</v>
      </c>
      <c r="R11" s="27">
        <v>18</v>
      </c>
      <c r="S11" s="27">
        <v>6</v>
      </c>
      <c r="T11" s="27">
        <f t="shared" si="3"/>
        <v>32</v>
      </c>
      <c r="U11" s="27" t="str">
        <f t="shared" si="4"/>
        <v>OK</v>
      </c>
      <c r="V11" s="27">
        <f t="shared" si="5"/>
        <v>8</v>
      </c>
      <c r="W11" s="27">
        <f t="shared" si="6"/>
        <v>18</v>
      </c>
      <c r="X11" s="27">
        <f t="shared" si="7"/>
        <v>6</v>
      </c>
      <c r="Y11" s="27">
        <f t="shared" si="8"/>
        <v>32</v>
      </c>
      <c r="Z11" s="32">
        <v>4</v>
      </c>
      <c r="AA11" s="32">
        <v>4</v>
      </c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>
        <v>3</v>
      </c>
      <c r="AO11" s="32">
        <v>3</v>
      </c>
      <c r="AP11" s="32"/>
      <c r="AQ11" s="32"/>
      <c r="AR11" s="32"/>
      <c r="AS11" s="32"/>
      <c r="AT11" s="32"/>
      <c r="AU11" s="32">
        <v>3</v>
      </c>
      <c r="AV11" s="32">
        <v>3</v>
      </c>
      <c r="AW11" s="32">
        <v>3</v>
      </c>
      <c r="AX11" s="32">
        <v>3</v>
      </c>
      <c r="AY11" s="32"/>
      <c r="AZ11" s="32"/>
      <c r="BA11" s="32"/>
      <c r="BB11" s="32"/>
      <c r="BC11" s="32"/>
      <c r="BD11" s="32">
        <v>3</v>
      </c>
      <c r="BE11" s="32"/>
      <c r="BF11" s="32"/>
      <c r="BG11" s="32">
        <v>3</v>
      </c>
      <c r="BH11" s="32"/>
      <c r="BI11" s="32"/>
      <c r="BJ11" s="33"/>
      <c r="BK11" s="33" t="s">
        <v>110</v>
      </c>
      <c r="BL11" s="34"/>
      <c r="BM11" s="34"/>
      <c r="BN11" s="34"/>
      <c r="BO11" s="27"/>
      <c r="BP11" s="27"/>
    </row>
    <row r="12" spans="1:68" x14ac:dyDescent="0.3">
      <c r="A12" s="25">
        <v>10</v>
      </c>
      <c r="B12" s="26" t="s">
        <v>111</v>
      </c>
      <c r="C12" s="27" t="s">
        <v>112</v>
      </c>
      <c r="D12" s="36" t="s">
        <v>113</v>
      </c>
      <c r="E12" s="26" t="str">
        <f>IFERROR(VLOOKUP($D12,[1]DUK!$B$2:$D$57,3,FALSE),"")</f>
        <v>198509102022211008</v>
      </c>
      <c r="F12" s="27" t="s">
        <v>67</v>
      </c>
      <c r="G12" s="28" t="s">
        <v>91</v>
      </c>
      <c r="H12" s="29" t="str">
        <f>VLOOKUP(G12,'[1]03. DAFTAR MAPEL'!$C$3:$E$68,2,FALSE)</f>
        <v>B. INDO</v>
      </c>
      <c r="I12" s="30" t="s">
        <v>114</v>
      </c>
      <c r="J12" s="27">
        <v>4</v>
      </c>
      <c r="K12" s="27">
        <v>3</v>
      </c>
      <c r="L12" s="27">
        <v>3</v>
      </c>
      <c r="M12" s="27">
        <f>J12*14</f>
        <v>56</v>
      </c>
      <c r="N12" s="27">
        <f>K12*11</f>
        <v>33</v>
      </c>
      <c r="O12" s="31">
        <f t="shared" si="1"/>
        <v>33</v>
      </c>
      <c r="P12" s="27">
        <f t="shared" si="2"/>
        <v>122</v>
      </c>
      <c r="Q12" s="27">
        <v>16</v>
      </c>
      <c r="R12" s="27">
        <v>6</v>
      </c>
      <c r="S12" s="27">
        <v>6</v>
      </c>
      <c r="T12" s="27">
        <f t="shared" si="3"/>
        <v>28</v>
      </c>
      <c r="U12" s="27" t="str">
        <f t="shared" si="4"/>
        <v>OK</v>
      </c>
      <c r="V12" s="27">
        <f t="shared" si="5"/>
        <v>16</v>
      </c>
      <c r="W12" s="27">
        <f t="shared" si="6"/>
        <v>6</v>
      </c>
      <c r="X12" s="27">
        <f t="shared" si="7"/>
        <v>6</v>
      </c>
      <c r="Y12" s="27">
        <f t="shared" si="8"/>
        <v>28</v>
      </c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>
        <v>4</v>
      </c>
      <c r="AK12" s="32">
        <v>4</v>
      </c>
      <c r="AL12" s="32">
        <v>4</v>
      </c>
      <c r="AM12" s="32">
        <v>4</v>
      </c>
      <c r="AN12" s="32"/>
      <c r="AO12" s="32"/>
      <c r="AP12" s="32">
        <v>3</v>
      </c>
      <c r="AQ12" s="32"/>
      <c r="AR12" s="32"/>
      <c r="AS12" s="32">
        <v>3</v>
      </c>
      <c r="AT12" s="32"/>
      <c r="AU12" s="32"/>
      <c r="AV12" s="32"/>
      <c r="AW12" s="32"/>
      <c r="AX12" s="32"/>
      <c r="AY12" s="32"/>
      <c r="AZ12" s="32"/>
      <c r="BA12" s="32">
        <v>3</v>
      </c>
      <c r="BB12" s="32"/>
      <c r="BC12" s="32">
        <v>3</v>
      </c>
      <c r="BD12" s="32"/>
      <c r="BE12" s="32"/>
      <c r="BF12" s="32"/>
      <c r="BG12" s="32"/>
      <c r="BH12" s="32"/>
      <c r="BI12" s="32"/>
      <c r="BJ12" s="33"/>
      <c r="BK12" s="33" t="s">
        <v>115</v>
      </c>
      <c r="BL12" s="34" t="s">
        <v>116</v>
      </c>
      <c r="BM12" s="34"/>
      <c r="BN12" s="34"/>
      <c r="BO12" s="27"/>
      <c r="BP12" s="27"/>
    </row>
    <row r="13" spans="1:68" x14ac:dyDescent="0.3">
      <c r="A13" s="25">
        <v>11</v>
      </c>
      <c r="B13" s="26" t="s">
        <v>117</v>
      </c>
      <c r="C13" s="27" t="s">
        <v>118</v>
      </c>
      <c r="D13" s="36" t="s">
        <v>113</v>
      </c>
      <c r="E13" s="26" t="str">
        <f>IFERROR(VLOOKUP($D13,[1]DUK!$B$2:$D$57,3,FALSE),"")</f>
        <v>198509102022211008</v>
      </c>
      <c r="F13" s="27" t="s">
        <v>67</v>
      </c>
      <c r="G13" s="28" t="s">
        <v>119</v>
      </c>
      <c r="H13" s="29" t="str">
        <f>VLOOKUP(G13,'[1]03. DAFTAR MAPEL'!$C$3:$E$68,2,FALSE)</f>
        <v>BP/BK</v>
      </c>
      <c r="I13" s="30" t="s">
        <v>114</v>
      </c>
      <c r="J13" s="27">
        <v>1</v>
      </c>
      <c r="K13" s="27">
        <v>1</v>
      </c>
      <c r="L13" s="27">
        <v>1</v>
      </c>
      <c r="M13" s="27">
        <f>J13*14</f>
        <v>14</v>
      </c>
      <c r="N13" s="27">
        <f>K13*11</f>
        <v>11</v>
      </c>
      <c r="O13" s="31">
        <f t="shared" si="1"/>
        <v>11</v>
      </c>
      <c r="P13" s="27">
        <f t="shared" si="2"/>
        <v>36</v>
      </c>
      <c r="Q13" s="27">
        <v>1</v>
      </c>
      <c r="R13" s="27">
        <v>5</v>
      </c>
      <c r="S13" s="27">
        <v>0</v>
      </c>
      <c r="T13" s="27">
        <f t="shared" si="3"/>
        <v>6</v>
      </c>
      <c r="U13" s="27" t="str">
        <f t="shared" si="4"/>
        <v>OK</v>
      </c>
      <c r="V13" s="27">
        <f t="shared" si="5"/>
        <v>2</v>
      </c>
      <c r="W13" s="27">
        <f t="shared" si="6"/>
        <v>4</v>
      </c>
      <c r="X13" s="27">
        <f t="shared" si="7"/>
        <v>0</v>
      </c>
      <c r="Y13" s="27">
        <f t="shared" si="8"/>
        <v>6</v>
      </c>
      <c r="Z13" s="32">
        <v>1</v>
      </c>
      <c r="AA13" s="32"/>
      <c r="AB13" s="32"/>
      <c r="AC13" s="32"/>
      <c r="AD13" s="32"/>
      <c r="AE13" s="32"/>
      <c r="AF13" s="32"/>
      <c r="AG13" s="32"/>
      <c r="AH13" s="32"/>
      <c r="AI13" s="32"/>
      <c r="AJ13" s="32">
        <v>1</v>
      </c>
      <c r="AK13" s="32"/>
      <c r="AL13" s="32"/>
      <c r="AM13" s="32"/>
      <c r="AN13" s="32">
        <v>1</v>
      </c>
      <c r="AO13" s="32"/>
      <c r="AP13" s="32"/>
      <c r="AQ13" s="32">
        <v>1</v>
      </c>
      <c r="AR13" s="32"/>
      <c r="AS13" s="32">
        <v>1</v>
      </c>
      <c r="AT13" s="32"/>
      <c r="AU13" s="32"/>
      <c r="AV13" s="32"/>
      <c r="AW13" s="32">
        <v>1</v>
      </c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3"/>
      <c r="BK13" s="33" t="s">
        <v>115</v>
      </c>
      <c r="BL13" s="34" t="s">
        <v>116</v>
      </c>
      <c r="BM13" s="34"/>
      <c r="BN13" s="34"/>
      <c r="BO13" s="27"/>
      <c r="BP13" s="27"/>
    </row>
    <row r="14" spans="1:68" ht="12.95" customHeight="1" x14ac:dyDescent="0.3">
      <c r="A14" s="25">
        <v>12</v>
      </c>
      <c r="B14" s="26" t="s">
        <v>120</v>
      </c>
      <c r="C14" s="27" t="s">
        <v>121</v>
      </c>
      <c r="D14" s="28" t="s">
        <v>122</v>
      </c>
      <c r="E14" s="26" t="str">
        <f>IFERROR(VLOOKUP($D14,[1]DUK!$B$2:$D$57,3,FALSE),"")</f>
        <v>199508152023211009</v>
      </c>
      <c r="F14" s="27" t="s">
        <v>67</v>
      </c>
      <c r="G14" s="28" t="s">
        <v>91</v>
      </c>
      <c r="H14" s="29" t="str">
        <f>VLOOKUP(G14,'[1]03. DAFTAR MAPEL'!$C$3:$E$68,2,FALSE)</f>
        <v>B. INDO</v>
      </c>
      <c r="I14" s="30" t="s">
        <v>123</v>
      </c>
      <c r="J14" s="27">
        <v>4</v>
      </c>
      <c r="K14" s="27">
        <v>3</v>
      </c>
      <c r="L14" s="27">
        <v>3</v>
      </c>
      <c r="M14" s="27">
        <f>J14*14</f>
        <v>56</v>
      </c>
      <c r="N14" s="27">
        <f t="shared" si="1"/>
        <v>33</v>
      </c>
      <c r="O14" s="31">
        <f t="shared" si="1"/>
        <v>33</v>
      </c>
      <c r="P14" s="27">
        <f t="shared" si="2"/>
        <v>122</v>
      </c>
      <c r="Q14" s="27">
        <v>8</v>
      </c>
      <c r="R14" s="27">
        <v>9</v>
      </c>
      <c r="S14" s="27">
        <v>9</v>
      </c>
      <c r="T14" s="27">
        <f t="shared" si="3"/>
        <v>26</v>
      </c>
      <c r="U14" s="27" t="str">
        <f t="shared" si="4"/>
        <v>OK</v>
      </c>
      <c r="V14" s="27">
        <f t="shared" ref="V14:V33" si="9">SUM(Z14:AM14)</f>
        <v>8</v>
      </c>
      <c r="W14" s="27">
        <f t="shared" ref="W14:W33" si="10">SUM(AN14:AX14)</f>
        <v>9</v>
      </c>
      <c r="X14" s="27">
        <f t="shared" ref="X14:X33" si="11">SUM(AY14:BI14)</f>
        <v>9</v>
      </c>
      <c r="Y14" s="27">
        <f t="shared" ref="Y14:Y33" si="12">SUM(V14:X14)</f>
        <v>26</v>
      </c>
      <c r="Z14" s="32"/>
      <c r="AA14" s="32"/>
      <c r="AB14" s="32"/>
      <c r="AC14" s="32"/>
      <c r="AD14" s="32"/>
      <c r="AE14" s="32"/>
      <c r="AF14" s="32"/>
      <c r="AG14" s="32"/>
      <c r="AH14" s="32">
        <v>4</v>
      </c>
      <c r="AI14" s="32">
        <v>4</v>
      </c>
      <c r="AJ14" s="32"/>
      <c r="AK14" s="32"/>
      <c r="AL14" s="32"/>
      <c r="AM14" s="32"/>
      <c r="AN14" s="32"/>
      <c r="AO14" s="32"/>
      <c r="AP14" s="32"/>
      <c r="AQ14" s="32">
        <v>3</v>
      </c>
      <c r="AR14" s="32">
        <v>3</v>
      </c>
      <c r="AS14" s="32"/>
      <c r="AT14" s="32">
        <v>3</v>
      </c>
      <c r="AU14" s="32"/>
      <c r="AV14" s="32"/>
      <c r="AW14" s="32"/>
      <c r="AX14" s="32"/>
      <c r="AY14" s="32">
        <v>3</v>
      </c>
      <c r="AZ14" s="32">
        <v>3</v>
      </c>
      <c r="BA14" s="32"/>
      <c r="BB14" s="32">
        <v>3</v>
      </c>
      <c r="BC14" s="32"/>
      <c r="BD14" s="32"/>
      <c r="BE14" s="32"/>
      <c r="BF14" s="32"/>
      <c r="BG14" s="32"/>
      <c r="BH14" s="32"/>
      <c r="BI14" s="32"/>
      <c r="BJ14" s="33"/>
      <c r="BK14" s="33" t="s">
        <v>124</v>
      </c>
      <c r="BL14" s="34" t="s">
        <v>125</v>
      </c>
      <c r="BM14" s="34"/>
      <c r="BN14" s="34"/>
      <c r="BO14" s="27"/>
      <c r="BP14" s="27"/>
    </row>
    <row r="15" spans="1:68" ht="12.95" customHeight="1" x14ac:dyDescent="0.3">
      <c r="A15" s="25">
        <v>13</v>
      </c>
      <c r="B15" s="26" t="s">
        <v>126</v>
      </c>
      <c r="C15" s="27" t="s">
        <v>127</v>
      </c>
      <c r="D15" s="28" t="s">
        <v>122</v>
      </c>
      <c r="E15" s="26" t="str">
        <f>IFERROR(VLOOKUP($D15,[1]DUK!$B$2:$D$57,3,FALSE),"")</f>
        <v>199508152023211009</v>
      </c>
      <c r="F15" s="27" t="s">
        <v>67</v>
      </c>
      <c r="G15" s="28" t="s">
        <v>128</v>
      </c>
      <c r="H15" s="29" t="str">
        <f>VLOOKUP(G15,'[1]03. DAFTAR MAPEL'!$C$3:$E$68,2,FALSE)</f>
        <v>PJOK</v>
      </c>
      <c r="I15" s="30" t="s">
        <v>123</v>
      </c>
      <c r="J15" s="27">
        <v>0</v>
      </c>
      <c r="K15" s="27">
        <v>4</v>
      </c>
      <c r="L15" s="27">
        <v>0</v>
      </c>
      <c r="M15" s="27">
        <f t="shared" si="1"/>
        <v>0</v>
      </c>
      <c r="N15" s="27">
        <f t="shared" si="1"/>
        <v>44</v>
      </c>
      <c r="O15" s="31">
        <f t="shared" si="1"/>
        <v>0</v>
      </c>
      <c r="P15" s="27">
        <f t="shared" si="2"/>
        <v>44</v>
      </c>
      <c r="Q15" s="27">
        <v>0</v>
      </c>
      <c r="R15" s="27">
        <v>6</v>
      </c>
      <c r="S15" s="27">
        <v>0</v>
      </c>
      <c r="T15" s="27">
        <f t="shared" si="3"/>
        <v>6</v>
      </c>
      <c r="U15" s="27" t="str">
        <f t="shared" si="4"/>
        <v>OK</v>
      </c>
      <c r="V15" s="27">
        <f t="shared" si="9"/>
        <v>0</v>
      </c>
      <c r="W15" s="27">
        <f t="shared" si="10"/>
        <v>6</v>
      </c>
      <c r="X15" s="27">
        <f t="shared" si="11"/>
        <v>0</v>
      </c>
      <c r="Y15" s="27">
        <f t="shared" si="12"/>
        <v>6</v>
      </c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>
        <v>2</v>
      </c>
      <c r="AO15" s="32">
        <v>2</v>
      </c>
      <c r="AP15" s="32"/>
      <c r="AQ15" s="32"/>
      <c r="AR15" s="32">
        <v>2</v>
      </c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3"/>
      <c r="BK15" s="33" t="s">
        <v>124</v>
      </c>
      <c r="BL15" s="34" t="s">
        <v>125</v>
      </c>
      <c r="BM15" s="34"/>
      <c r="BN15" s="34"/>
      <c r="BO15" s="27"/>
      <c r="BP15" s="27"/>
    </row>
    <row r="16" spans="1:68" ht="12.95" customHeight="1" x14ac:dyDescent="0.3">
      <c r="A16" s="25">
        <v>14</v>
      </c>
      <c r="B16" s="26" t="s">
        <v>129</v>
      </c>
      <c r="C16" s="27" t="s">
        <v>130</v>
      </c>
      <c r="D16" s="28" t="s">
        <v>122</v>
      </c>
      <c r="E16" s="26" t="str">
        <f>IFERROR(VLOOKUP($D16,[1]DUK!$B$2:$D$57,3,FALSE),"")</f>
        <v>199508152023211009</v>
      </c>
      <c r="F16" s="27" t="s">
        <v>67</v>
      </c>
      <c r="G16" s="28" t="s">
        <v>131</v>
      </c>
      <c r="H16" s="29" t="str">
        <f>VLOOKUP(G16,'[1]03. DAFTAR MAPEL'!$C$3:$E$68,2,FALSE)</f>
        <v>MULOK XII</v>
      </c>
      <c r="I16" s="30" t="s">
        <v>123</v>
      </c>
      <c r="J16" s="27">
        <v>0</v>
      </c>
      <c r="K16" s="27">
        <v>0</v>
      </c>
      <c r="L16" s="27">
        <v>2</v>
      </c>
      <c r="M16" s="27">
        <f t="shared" si="1"/>
        <v>0</v>
      </c>
      <c r="N16" s="27">
        <f t="shared" si="1"/>
        <v>0</v>
      </c>
      <c r="O16" s="31">
        <f t="shared" si="1"/>
        <v>22</v>
      </c>
      <c r="P16" s="27">
        <f t="shared" si="2"/>
        <v>22</v>
      </c>
      <c r="Q16" s="27">
        <v>0</v>
      </c>
      <c r="R16" s="27">
        <v>0</v>
      </c>
      <c r="S16" s="27">
        <v>6</v>
      </c>
      <c r="T16" s="27">
        <f t="shared" si="3"/>
        <v>6</v>
      </c>
      <c r="U16" s="27" t="str">
        <f t="shared" si="4"/>
        <v>OK</v>
      </c>
      <c r="V16" s="27">
        <f t="shared" si="9"/>
        <v>0</v>
      </c>
      <c r="W16" s="27">
        <f t="shared" si="10"/>
        <v>0</v>
      </c>
      <c r="X16" s="27">
        <f t="shared" si="11"/>
        <v>6</v>
      </c>
      <c r="Y16" s="27">
        <f t="shared" si="12"/>
        <v>6</v>
      </c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>
        <v>2</v>
      </c>
      <c r="BA16" s="32"/>
      <c r="BB16" s="32"/>
      <c r="BC16" s="32"/>
      <c r="BD16" s="32"/>
      <c r="BE16" s="32"/>
      <c r="BF16" s="32">
        <v>2</v>
      </c>
      <c r="BG16" s="32">
        <v>2</v>
      </c>
      <c r="BH16" s="32"/>
      <c r="BI16" s="32"/>
      <c r="BJ16" s="33"/>
      <c r="BK16" s="33" t="s">
        <v>124</v>
      </c>
      <c r="BL16" s="34" t="s">
        <v>125</v>
      </c>
      <c r="BM16" s="34"/>
      <c r="BN16" s="34"/>
      <c r="BO16" s="27"/>
      <c r="BP16" s="27"/>
    </row>
    <row r="17" spans="1:68" ht="12.95" customHeight="1" x14ac:dyDescent="0.3">
      <c r="A17" s="25">
        <v>15</v>
      </c>
      <c r="B17" s="26" t="s">
        <v>132</v>
      </c>
      <c r="C17" s="27" t="s">
        <v>133</v>
      </c>
      <c r="D17" s="28" t="s">
        <v>134</v>
      </c>
      <c r="E17" s="26" t="str">
        <f>IFERROR(VLOOKUP($D17,[1]DUK!$B$2:$D$57,3,FALSE),"")</f>
        <v>198807082020122007</v>
      </c>
      <c r="F17" s="27" t="s">
        <v>135</v>
      </c>
      <c r="G17" s="37" t="s">
        <v>136</v>
      </c>
      <c r="H17" s="29" t="str">
        <f>VLOOKUP(G17,'[1]03. DAFTAR MAPEL'!$C$3:$E$68,2,FALSE)</f>
        <v>MP</v>
      </c>
      <c r="I17" s="30" t="s">
        <v>137</v>
      </c>
      <c r="J17" s="27">
        <v>0</v>
      </c>
      <c r="K17" s="27">
        <v>4</v>
      </c>
      <c r="L17" s="27">
        <v>4</v>
      </c>
      <c r="M17" s="27">
        <f>J17*14</f>
        <v>0</v>
      </c>
      <c r="N17" s="27">
        <f>K17*11</f>
        <v>44</v>
      </c>
      <c r="O17" s="31">
        <f>L17*11</f>
        <v>44</v>
      </c>
      <c r="P17" s="27">
        <f t="shared" si="2"/>
        <v>88</v>
      </c>
      <c r="Q17" s="27">
        <v>0</v>
      </c>
      <c r="R17" s="27">
        <v>0</v>
      </c>
      <c r="S17" s="27">
        <v>28</v>
      </c>
      <c r="T17" s="27">
        <f t="shared" si="3"/>
        <v>28</v>
      </c>
      <c r="U17" s="27" t="str">
        <f t="shared" si="4"/>
        <v>OK</v>
      </c>
      <c r="V17" s="27">
        <f t="shared" si="9"/>
        <v>0</v>
      </c>
      <c r="W17" s="27">
        <f t="shared" si="10"/>
        <v>0</v>
      </c>
      <c r="X17" s="27">
        <f t="shared" si="11"/>
        <v>28</v>
      </c>
      <c r="Y17" s="27">
        <f t="shared" si="12"/>
        <v>28</v>
      </c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>
        <v>4</v>
      </c>
      <c r="BC17" s="32">
        <v>4</v>
      </c>
      <c r="BD17" s="32"/>
      <c r="BE17" s="32">
        <v>4</v>
      </c>
      <c r="BF17" s="32">
        <v>4</v>
      </c>
      <c r="BG17" s="32">
        <v>4</v>
      </c>
      <c r="BH17" s="32">
        <v>4</v>
      </c>
      <c r="BI17" s="32">
        <v>4</v>
      </c>
      <c r="BJ17" s="33" t="s">
        <v>138</v>
      </c>
      <c r="BK17" s="33"/>
      <c r="BL17" s="34"/>
      <c r="BM17" s="34"/>
      <c r="BN17" s="34"/>
      <c r="BO17" s="27"/>
      <c r="BP17" s="27"/>
    </row>
    <row r="18" spans="1:68" ht="12.95" customHeight="1" x14ac:dyDescent="0.3">
      <c r="A18" s="25">
        <v>16</v>
      </c>
      <c r="B18" s="26" t="s">
        <v>139</v>
      </c>
      <c r="C18" s="27" t="s">
        <v>140</v>
      </c>
      <c r="D18" s="28" t="s">
        <v>134</v>
      </c>
      <c r="E18" s="26" t="str">
        <f>IFERROR(VLOOKUP($D18,[1]DUK!$B$2:$D$57,3,FALSE),"")</f>
        <v>198807082020122007</v>
      </c>
      <c r="F18" s="27" t="s">
        <v>135</v>
      </c>
      <c r="G18" s="37" t="s">
        <v>141</v>
      </c>
      <c r="H18" s="29" t="str">
        <f>VLOOKUP(G18,'[1]03. DAFTAR MAPEL'!$C$3:$E$68,2,FALSE)</f>
        <v>MKMP</v>
      </c>
      <c r="I18" s="30" t="s">
        <v>137</v>
      </c>
      <c r="J18" s="27">
        <v>0</v>
      </c>
      <c r="K18" s="27">
        <v>2</v>
      </c>
      <c r="L18" s="27">
        <v>2</v>
      </c>
      <c r="M18" s="27">
        <f>J18*2</f>
        <v>0</v>
      </c>
      <c r="N18" s="27">
        <f>K18*2</f>
        <v>4</v>
      </c>
      <c r="O18" s="31">
        <f>L18*2</f>
        <v>4</v>
      </c>
      <c r="P18" s="27">
        <f t="shared" si="2"/>
        <v>8</v>
      </c>
      <c r="Q18" s="27">
        <v>0</v>
      </c>
      <c r="R18" s="27">
        <v>4</v>
      </c>
      <c r="S18" s="27">
        <v>4</v>
      </c>
      <c r="T18" s="27">
        <f t="shared" si="3"/>
        <v>8</v>
      </c>
      <c r="U18" s="27" t="str">
        <f t="shared" si="4"/>
        <v>OK</v>
      </c>
      <c r="V18" s="27">
        <f t="shared" ref="V18" si="13">SUM(Z18:AM18)</f>
        <v>0</v>
      </c>
      <c r="W18" s="27">
        <f t="shared" ref="W18" si="14">SUM(AN18:AX18)</f>
        <v>4</v>
      </c>
      <c r="X18" s="27">
        <f t="shared" ref="X18" si="15">SUM(AY18:BI18)</f>
        <v>4</v>
      </c>
      <c r="Y18" s="27">
        <f t="shared" ref="Y18" si="16">SUM(V18:X18)</f>
        <v>8</v>
      </c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>
        <v>2</v>
      </c>
      <c r="AX18" s="32">
        <v>2</v>
      </c>
      <c r="AY18" s="32"/>
      <c r="AZ18" s="32"/>
      <c r="BA18" s="32"/>
      <c r="BB18" s="32"/>
      <c r="BC18" s="32"/>
      <c r="BD18" s="32"/>
      <c r="BE18" s="32"/>
      <c r="BF18" s="32"/>
      <c r="BG18" s="32"/>
      <c r="BH18" s="32">
        <v>2</v>
      </c>
      <c r="BI18" s="32">
        <v>2</v>
      </c>
      <c r="BJ18" s="33" t="s">
        <v>138</v>
      </c>
      <c r="BK18" s="33"/>
      <c r="BL18" s="34"/>
      <c r="BM18" s="34"/>
      <c r="BN18" s="34"/>
      <c r="BO18" s="27"/>
      <c r="BP18" s="27"/>
    </row>
    <row r="19" spans="1:68" x14ac:dyDescent="0.3">
      <c r="A19" s="25">
        <v>17</v>
      </c>
      <c r="B19" s="26" t="s">
        <v>142</v>
      </c>
      <c r="C19" s="27" t="s">
        <v>143</v>
      </c>
      <c r="D19" s="28" t="s">
        <v>144</v>
      </c>
      <c r="E19" s="26" t="str">
        <f>IFERROR(VLOOKUP($D19,[1]DUK!$B$2:$D$57,3,FALSE),"")</f>
        <v>198608052022212017</v>
      </c>
      <c r="F19" s="27" t="s">
        <v>67</v>
      </c>
      <c r="G19" s="28" t="s">
        <v>145</v>
      </c>
      <c r="H19" s="29" t="str">
        <f>VLOOKUP(G19,'[1]03. DAFTAR MAPEL'!$C$3:$E$68,2,FALSE)</f>
        <v>MTK</v>
      </c>
      <c r="I19" s="30" t="s">
        <v>146</v>
      </c>
      <c r="J19" s="27">
        <v>4</v>
      </c>
      <c r="K19" s="27">
        <v>3</v>
      </c>
      <c r="L19" s="27">
        <v>3</v>
      </c>
      <c r="M19" s="27">
        <f>J19*14</f>
        <v>56</v>
      </c>
      <c r="N19" s="27">
        <f t="shared" ref="M19:O32" si="17">K19*11</f>
        <v>33</v>
      </c>
      <c r="O19" s="31">
        <f t="shared" si="17"/>
        <v>33</v>
      </c>
      <c r="P19" s="27">
        <f t="shared" si="2"/>
        <v>122</v>
      </c>
      <c r="Q19" s="27">
        <v>0</v>
      </c>
      <c r="R19" s="27">
        <v>0</v>
      </c>
      <c r="S19" s="27">
        <v>0</v>
      </c>
      <c r="T19" s="27">
        <f t="shared" si="3"/>
        <v>0</v>
      </c>
      <c r="U19" s="27" t="str">
        <f t="shared" si="4"/>
        <v>OK</v>
      </c>
      <c r="V19" s="27">
        <f t="shared" si="9"/>
        <v>0</v>
      </c>
      <c r="W19" s="27">
        <f t="shared" si="10"/>
        <v>0</v>
      </c>
      <c r="X19" s="27">
        <f t="shared" si="11"/>
        <v>0</v>
      </c>
      <c r="Y19" s="27">
        <f t="shared" si="12"/>
        <v>0</v>
      </c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3"/>
      <c r="BK19" s="33" t="s">
        <v>147</v>
      </c>
      <c r="BL19" s="34"/>
      <c r="BM19" s="34"/>
      <c r="BN19" s="34"/>
      <c r="BO19" s="27"/>
      <c r="BP19" s="27"/>
    </row>
    <row r="20" spans="1:68" x14ac:dyDescent="0.3">
      <c r="A20" s="25">
        <v>18</v>
      </c>
      <c r="B20" s="26" t="s">
        <v>148</v>
      </c>
      <c r="C20" s="27" t="s">
        <v>149</v>
      </c>
      <c r="D20" s="28" t="s">
        <v>144</v>
      </c>
      <c r="E20" s="26" t="str">
        <f>IFERROR(VLOOKUP($D20,[1]DUK!$B$2:$D$57,3,FALSE),"")</f>
        <v>198608052022212017</v>
      </c>
      <c r="F20" s="27" t="s">
        <v>67</v>
      </c>
      <c r="G20" s="28" t="s">
        <v>136</v>
      </c>
      <c r="H20" s="29" t="str">
        <f>VLOOKUP(G20,'[1]03. DAFTAR MAPEL'!$C$3:$E$68,2,FALSE)</f>
        <v>MP</v>
      </c>
      <c r="I20" s="30" t="s">
        <v>146</v>
      </c>
      <c r="J20" s="27">
        <v>0</v>
      </c>
      <c r="K20" s="27">
        <v>4</v>
      </c>
      <c r="L20" s="27">
        <v>4</v>
      </c>
      <c r="M20" s="27">
        <f t="shared" ref="M20" si="18">J20*11</f>
        <v>0</v>
      </c>
      <c r="N20" s="27">
        <f t="shared" si="17"/>
        <v>44</v>
      </c>
      <c r="O20" s="31">
        <f t="shared" si="17"/>
        <v>44</v>
      </c>
      <c r="P20" s="27">
        <f t="shared" si="2"/>
        <v>88</v>
      </c>
      <c r="Q20" s="27">
        <v>0</v>
      </c>
      <c r="R20" s="27">
        <v>16</v>
      </c>
      <c r="S20" s="27">
        <v>16</v>
      </c>
      <c r="T20" s="27">
        <f t="shared" si="3"/>
        <v>32</v>
      </c>
      <c r="U20" s="27" t="str">
        <f t="shared" si="4"/>
        <v>OK</v>
      </c>
      <c r="V20" s="27">
        <f t="shared" ref="V20" si="19">SUM(Z20:AM20)</f>
        <v>0</v>
      </c>
      <c r="W20" s="27">
        <f t="shared" ref="W20" si="20">SUM(AN20:AX20)</f>
        <v>16</v>
      </c>
      <c r="X20" s="27">
        <f t="shared" ref="X20" si="21">SUM(AY20:BI20)</f>
        <v>16</v>
      </c>
      <c r="Y20" s="27">
        <f t="shared" ref="Y20" si="22">SUM(V20:X20)</f>
        <v>32</v>
      </c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>
        <v>4</v>
      </c>
      <c r="AR20" s="32">
        <v>4</v>
      </c>
      <c r="AS20" s="32"/>
      <c r="AT20" s="32">
        <v>4</v>
      </c>
      <c r="AU20" s="32"/>
      <c r="AV20" s="32">
        <v>4</v>
      </c>
      <c r="AW20" s="32"/>
      <c r="AX20" s="32"/>
      <c r="AY20" s="32">
        <v>4</v>
      </c>
      <c r="AZ20" s="32">
        <v>4</v>
      </c>
      <c r="BA20" s="32">
        <v>4</v>
      </c>
      <c r="BB20" s="32"/>
      <c r="BC20" s="32"/>
      <c r="BD20" s="32">
        <v>4</v>
      </c>
      <c r="BE20" s="32"/>
      <c r="BF20" s="32"/>
      <c r="BG20" s="32"/>
      <c r="BH20" s="32"/>
      <c r="BI20" s="32"/>
      <c r="BJ20" s="33"/>
      <c r="BK20" s="33" t="s">
        <v>147</v>
      </c>
      <c r="BL20" s="34"/>
      <c r="BM20" s="34"/>
      <c r="BN20" s="34"/>
      <c r="BO20" s="27"/>
      <c r="BP20" s="27"/>
    </row>
    <row r="21" spans="1:68" x14ac:dyDescent="0.3">
      <c r="A21" s="25">
        <v>19</v>
      </c>
      <c r="B21" s="26" t="s">
        <v>150</v>
      </c>
      <c r="C21" s="27" t="s">
        <v>151</v>
      </c>
      <c r="D21" s="28" t="s">
        <v>144</v>
      </c>
      <c r="E21" s="26" t="str">
        <f>IFERROR(VLOOKUP($D21,[1]DUK!$B$2:$D$57,3,FALSE),"")</f>
        <v>198608052022212017</v>
      </c>
      <c r="F21" s="27" t="s">
        <v>67</v>
      </c>
      <c r="G21" s="28" t="s">
        <v>119</v>
      </c>
      <c r="H21" s="29" t="str">
        <f>VLOOKUP(G21,'[1]03. DAFTAR MAPEL'!$C$3:$E$68,2,FALSE)</f>
        <v>BP/BK</v>
      </c>
      <c r="I21" s="30" t="s">
        <v>146</v>
      </c>
      <c r="J21" s="27">
        <v>1</v>
      </c>
      <c r="K21" s="27">
        <v>1</v>
      </c>
      <c r="L21" s="27">
        <v>1</v>
      </c>
      <c r="M21" s="27">
        <f t="shared" ref="M21:M26" si="23">J21*14</f>
        <v>14</v>
      </c>
      <c r="N21" s="27">
        <f t="shared" si="17"/>
        <v>11</v>
      </c>
      <c r="O21" s="31">
        <f t="shared" si="17"/>
        <v>11</v>
      </c>
      <c r="P21" s="27">
        <f t="shared" si="2"/>
        <v>36</v>
      </c>
      <c r="Q21" s="27">
        <v>0</v>
      </c>
      <c r="R21" s="27">
        <v>0</v>
      </c>
      <c r="S21" s="27">
        <v>3</v>
      </c>
      <c r="T21" s="27">
        <f t="shared" si="3"/>
        <v>3</v>
      </c>
      <c r="U21" s="27" t="str">
        <f t="shared" si="4"/>
        <v>OK</v>
      </c>
      <c r="V21" s="27">
        <f t="shared" si="9"/>
        <v>0</v>
      </c>
      <c r="W21" s="27">
        <f t="shared" si="10"/>
        <v>0</v>
      </c>
      <c r="X21" s="27">
        <f t="shared" si="11"/>
        <v>3</v>
      </c>
      <c r="Y21" s="27">
        <f t="shared" si="12"/>
        <v>3</v>
      </c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>
        <v>1</v>
      </c>
      <c r="BE21" s="32"/>
      <c r="BF21" s="32"/>
      <c r="BG21" s="32">
        <v>1</v>
      </c>
      <c r="BH21" s="32"/>
      <c r="BI21" s="32">
        <v>1</v>
      </c>
      <c r="BJ21" s="33"/>
      <c r="BK21" s="33" t="s">
        <v>147</v>
      </c>
      <c r="BL21" s="34"/>
      <c r="BM21" s="34"/>
      <c r="BN21" s="34"/>
      <c r="BO21" s="27"/>
      <c r="BP21" s="27"/>
    </row>
    <row r="22" spans="1:68" ht="12.95" customHeight="1" x14ac:dyDescent="0.3">
      <c r="A22" s="25">
        <v>20</v>
      </c>
      <c r="B22" s="26" t="s">
        <v>152</v>
      </c>
      <c r="C22" s="27" t="s">
        <v>153</v>
      </c>
      <c r="D22" s="28" t="s">
        <v>154</v>
      </c>
      <c r="E22" s="26" t="str">
        <f>IFERROR(VLOOKUP($D22,[1]DUK!$B$2:$D$57,3,FALSE),"")</f>
        <v>198303112022212034</v>
      </c>
      <c r="F22" s="27" t="s">
        <v>67</v>
      </c>
      <c r="G22" s="28" t="s">
        <v>145</v>
      </c>
      <c r="H22" s="29" t="str">
        <f>VLOOKUP(G22,'[1]03. DAFTAR MAPEL'!$C$3:$E$68,2,FALSE)</f>
        <v>MTK</v>
      </c>
      <c r="I22" s="30" t="s">
        <v>155</v>
      </c>
      <c r="J22" s="27">
        <v>4</v>
      </c>
      <c r="K22" s="27">
        <v>3</v>
      </c>
      <c r="L22" s="27">
        <v>3</v>
      </c>
      <c r="M22" s="27">
        <f t="shared" si="23"/>
        <v>56</v>
      </c>
      <c r="N22" s="27">
        <f t="shared" si="17"/>
        <v>33</v>
      </c>
      <c r="O22" s="31">
        <f t="shared" si="17"/>
        <v>33</v>
      </c>
      <c r="P22" s="27">
        <f t="shared" si="2"/>
        <v>122</v>
      </c>
      <c r="Q22" s="27">
        <v>0</v>
      </c>
      <c r="R22" s="27">
        <v>18</v>
      </c>
      <c r="S22" s="27">
        <v>9</v>
      </c>
      <c r="T22" s="27">
        <f t="shared" si="3"/>
        <v>27</v>
      </c>
      <c r="U22" s="27" t="str">
        <f t="shared" si="4"/>
        <v>OK</v>
      </c>
      <c r="V22" s="27">
        <f t="shared" si="9"/>
        <v>0</v>
      </c>
      <c r="W22" s="27">
        <f t="shared" si="10"/>
        <v>18</v>
      </c>
      <c r="X22" s="27">
        <f t="shared" si="11"/>
        <v>9</v>
      </c>
      <c r="Y22" s="27">
        <f t="shared" si="12"/>
        <v>27</v>
      </c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>
        <v>3</v>
      </c>
      <c r="AO22" s="32">
        <v>3</v>
      </c>
      <c r="AP22" s="32">
        <v>3</v>
      </c>
      <c r="AQ22" s="32">
        <v>3</v>
      </c>
      <c r="AR22" s="32"/>
      <c r="AS22" s="32">
        <v>3</v>
      </c>
      <c r="AT22" s="32">
        <v>3</v>
      </c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>
        <v>3</v>
      </c>
      <c r="BH22" s="32">
        <v>3</v>
      </c>
      <c r="BI22" s="32">
        <v>3</v>
      </c>
      <c r="BJ22" s="33"/>
      <c r="BK22" s="33" t="s">
        <v>156</v>
      </c>
      <c r="BL22" s="33"/>
      <c r="BM22" s="33"/>
      <c r="BN22" s="33" t="s">
        <v>157</v>
      </c>
      <c r="BO22" s="27"/>
      <c r="BP22" s="27"/>
    </row>
    <row r="23" spans="1:68" ht="12.95" customHeight="1" x14ac:dyDescent="0.3">
      <c r="A23" s="25">
        <v>21</v>
      </c>
      <c r="B23" s="26" t="s">
        <v>158</v>
      </c>
      <c r="C23" s="27" t="s">
        <v>159</v>
      </c>
      <c r="D23" s="28" t="s">
        <v>154</v>
      </c>
      <c r="E23" s="26" t="str">
        <f>IFERROR(VLOOKUP($D23,[1]DUK!$B$2:$D$57,3,FALSE),"")</f>
        <v>198303112022212034</v>
      </c>
      <c r="F23" s="27" t="s">
        <v>67</v>
      </c>
      <c r="G23" s="37" t="s">
        <v>119</v>
      </c>
      <c r="H23" s="29" t="str">
        <f>VLOOKUP(G23,'[1]03. DAFTAR MAPEL'!$C$3:$E$68,2,FALSE)</f>
        <v>BP/BK</v>
      </c>
      <c r="I23" s="30" t="s">
        <v>155</v>
      </c>
      <c r="J23" s="27">
        <v>1</v>
      </c>
      <c r="K23" s="27">
        <v>1</v>
      </c>
      <c r="L23" s="27">
        <v>1</v>
      </c>
      <c r="M23" s="27">
        <f t="shared" si="23"/>
        <v>14</v>
      </c>
      <c r="N23" s="27">
        <f t="shared" si="17"/>
        <v>11</v>
      </c>
      <c r="O23" s="31">
        <f t="shared" si="17"/>
        <v>11</v>
      </c>
      <c r="P23" s="27">
        <f t="shared" si="2"/>
        <v>36</v>
      </c>
      <c r="Q23" s="27">
        <v>4</v>
      </c>
      <c r="R23" s="27">
        <v>2</v>
      </c>
      <c r="S23" s="27">
        <v>0</v>
      </c>
      <c r="T23" s="27">
        <f t="shared" si="3"/>
        <v>6</v>
      </c>
      <c r="U23" s="27" t="str">
        <f t="shared" si="4"/>
        <v>OK</v>
      </c>
      <c r="V23" s="27">
        <f t="shared" si="9"/>
        <v>4</v>
      </c>
      <c r="W23" s="27">
        <f t="shared" si="10"/>
        <v>2</v>
      </c>
      <c r="X23" s="27">
        <f t="shared" si="11"/>
        <v>0</v>
      </c>
      <c r="Y23" s="27">
        <f t="shared" si="12"/>
        <v>6</v>
      </c>
      <c r="Z23" s="32"/>
      <c r="AA23" s="32"/>
      <c r="AB23" s="32">
        <v>1</v>
      </c>
      <c r="AC23" s="32"/>
      <c r="AD23" s="32">
        <v>1</v>
      </c>
      <c r="AE23" s="32">
        <v>1</v>
      </c>
      <c r="AF23" s="32"/>
      <c r="AG23" s="32"/>
      <c r="AH23" s="32"/>
      <c r="AI23" s="32">
        <v>1</v>
      </c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>
        <v>1</v>
      </c>
      <c r="AW23" s="32"/>
      <c r="AX23" s="32">
        <v>1</v>
      </c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3"/>
      <c r="BK23" s="33" t="s">
        <v>156</v>
      </c>
      <c r="BL23" s="33"/>
      <c r="BM23" s="33"/>
      <c r="BN23" s="33" t="s">
        <v>157</v>
      </c>
      <c r="BO23" s="27"/>
      <c r="BP23" s="27"/>
    </row>
    <row r="24" spans="1:68" x14ac:dyDescent="0.3">
      <c r="A24" s="25">
        <v>22</v>
      </c>
      <c r="B24" s="26" t="s">
        <v>160</v>
      </c>
      <c r="C24" s="27" t="s">
        <v>161</v>
      </c>
      <c r="D24" s="28" t="s">
        <v>162</v>
      </c>
      <c r="E24" s="26" t="str">
        <f>IFERROR(VLOOKUP($D24,[1]DUK!$B$2:$D$57,3,FALSE),"")</f>
        <v>198512182022211020</v>
      </c>
      <c r="F24" s="27" t="s">
        <v>67</v>
      </c>
      <c r="G24" s="28" t="s">
        <v>145</v>
      </c>
      <c r="H24" s="29" t="str">
        <f>VLOOKUP(G24,'[1]03. DAFTAR MAPEL'!$C$3:$E$68,2,FALSE)</f>
        <v>MTK</v>
      </c>
      <c r="I24" s="30" t="s">
        <v>163</v>
      </c>
      <c r="J24" s="27">
        <v>4</v>
      </c>
      <c r="K24" s="27">
        <v>3</v>
      </c>
      <c r="L24" s="27">
        <v>3</v>
      </c>
      <c r="M24" s="27">
        <f t="shared" si="23"/>
        <v>56</v>
      </c>
      <c r="N24" s="27">
        <f t="shared" si="17"/>
        <v>33</v>
      </c>
      <c r="O24" s="31">
        <f t="shared" si="17"/>
        <v>33</v>
      </c>
      <c r="P24" s="27">
        <f t="shared" si="2"/>
        <v>122</v>
      </c>
      <c r="Q24" s="27">
        <v>8</v>
      </c>
      <c r="R24" s="27">
        <v>9</v>
      </c>
      <c r="S24" s="27">
        <v>6</v>
      </c>
      <c r="T24" s="27">
        <f t="shared" si="3"/>
        <v>23</v>
      </c>
      <c r="U24" s="27" t="str">
        <f t="shared" si="4"/>
        <v>OK</v>
      </c>
      <c r="V24" s="27">
        <f t="shared" si="9"/>
        <v>8</v>
      </c>
      <c r="W24" s="27">
        <f t="shared" si="10"/>
        <v>9</v>
      </c>
      <c r="X24" s="27">
        <f t="shared" si="11"/>
        <v>6</v>
      </c>
      <c r="Y24" s="27">
        <f t="shared" si="12"/>
        <v>23</v>
      </c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4</v>
      </c>
      <c r="AM24" s="32">
        <v>4</v>
      </c>
      <c r="AN24" s="32"/>
      <c r="AO24" s="32"/>
      <c r="AP24" s="32"/>
      <c r="AQ24" s="32"/>
      <c r="AR24" s="32">
        <v>3</v>
      </c>
      <c r="AS24" s="32"/>
      <c r="AT24" s="32"/>
      <c r="AU24" s="32">
        <v>3</v>
      </c>
      <c r="AV24" s="32">
        <v>3</v>
      </c>
      <c r="AW24" s="32"/>
      <c r="AX24" s="32"/>
      <c r="AY24" s="32">
        <v>3</v>
      </c>
      <c r="AZ24" s="32"/>
      <c r="BA24" s="32"/>
      <c r="BB24" s="32">
        <v>3</v>
      </c>
      <c r="BC24" s="32"/>
      <c r="BD24" s="32"/>
      <c r="BE24" s="32"/>
      <c r="BF24" s="32"/>
      <c r="BG24" s="32"/>
      <c r="BH24" s="32"/>
      <c r="BI24" s="32"/>
      <c r="BJ24" s="33"/>
      <c r="BK24" s="33" t="s">
        <v>164</v>
      </c>
      <c r="BL24" s="33"/>
      <c r="BM24" s="33"/>
      <c r="BN24" s="33"/>
      <c r="BO24" s="27"/>
      <c r="BP24" s="27"/>
    </row>
    <row r="25" spans="1:68" x14ac:dyDescent="0.3">
      <c r="A25" s="25">
        <v>23</v>
      </c>
      <c r="B25" s="26" t="s">
        <v>165</v>
      </c>
      <c r="C25" s="27" t="s">
        <v>166</v>
      </c>
      <c r="D25" s="28" t="s">
        <v>162</v>
      </c>
      <c r="E25" s="26" t="str">
        <f>IFERROR(VLOOKUP($D25,[1]DUK!$B$2:$D$57,3,FALSE),"")</f>
        <v>198512182022211020</v>
      </c>
      <c r="F25" s="27" t="s">
        <v>67</v>
      </c>
      <c r="G25" s="28" t="s">
        <v>136</v>
      </c>
      <c r="H25" s="29" t="str">
        <f>VLOOKUP(G25,'[1]03. DAFTAR MAPEL'!$C$3:$E$68,2,FALSE)</f>
        <v>MP</v>
      </c>
      <c r="I25" s="30" t="s">
        <v>163</v>
      </c>
      <c r="J25" s="27">
        <v>0</v>
      </c>
      <c r="K25" s="27">
        <v>4</v>
      </c>
      <c r="L25" s="27">
        <v>4</v>
      </c>
      <c r="M25" s="27">
        <f t="shared" si="23"/>
        <v>0</v>
      </c>
      <c r="N25" s="27">
        <f>K25*11</f>
        <v>44</v>
      </c>
      <c r="O25" s="31">
        <f>L25*11</f>
        <v>44</v>
      </c>
      <c r="P25" s="27">
        <f t="shared" si="2"/>
        <v>88</v>
      </c>
      <c r="Q25" s="27">
        <v>0</v>
      </c>
      <c r="R25" s="27">
        <v>8</v>
      </c>
      <c r="S25" s="27">
        <v>0</v>
      </c>
      <c r="T25" s="27">
        <f t="shared" si="3"/>
        <v>8</v>
      </c>
      <c r="U25" s="27" t="str">
        <f t="shared" si="4"/>
        <v>OK</v>
      </c>
      <c r="V25" s="27">
        <f t="shared" ref="V25" si="24">SUM(Z25:AM25)</f>
        <v>0</v>
      </c>
      <c r="W25" s="27">
        <f t="shared" ref="W25" si="25">SUM(AN25:AX25)</f>
        <v>8</v>
      </c>
      <c r="X25" s="27">
        <f t="shared" ref="X25" si="26">SUM(AY25:BI25)</f>
        <v>0</v>
      </c>
      <c r="Y25" s="27">
        <f t="shared" ref="Y25" si="27">SUM(V25:X25)</f>
        <v>8</v>
      </c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>
        <v>4</v>
      </c>
      <c r="AO25" s="32"/>
      <c r="AP25" s="32"/>
      <c r="AQ25" s="32"/>
      <c r="AR25" s="32"/>
      <c r="AS25" s="32"/>
      <c r="AT25" s="32"/>
      <c r="AU25" s="32">
        <v>4</v>
      </c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3"/>
      <c r="BK25" s="33" t="s">
        <v>164</v>
      </c>
      <c r="BL25" s="33"/>
      <c r="BM25" s="33"/>
      <c r="BN25" s="33"/>
      <c r="BO25" s="27"/>
      <c r="BP25" s="27"/>
    </row>
    <row r="26" spans="1:68" x14ac:dyDescent="0.3">
      <c r="A26" s="25">
        <v>24</v>
      </c>
      <c r="B26" s="26" t="s">
        <v>167</v>
      </c>
      <c r="C26" s="27" t="s">
        <v>168</v>
      </c>
      <c r="D26" s="28" t="s">
        <v>162</v>
      </c>
      <c r="E26" s="26" t="str">
        <f>IFERROR(VLOOKUP($D26,[1]DUK!$B$2:$D$57,3,FALSE),"")</f>
        <v>198512182022211020</v>
      </c>
      <c r="F26" s="27" t="s">
        <v>67</v>
      </c>
      <c r="G26" s="28" t="s">
        <v>119</v>
      </c>
      <c r="H26" s="29" t="str">
        <f>VLOOKUP(G26,'[1]03. DAFTAR MAPEL'!$C$3:$E$68,2,FALSE)</f>
        <v>BP/BK</v>
      </c>
      <c r="I26" s="30" t="s">
        <v>163</v>
      </c>
      <c r="J26" s="27">
        <v>1</v>
      </c>
      <c r="K26" s="27">
        <v>1</v>
      </c>
      <c r="L26" s="27">
        <v>1</v>
      </c>
      <c r="M26" s="27">
        <f t="shared" si="23"/>
        <v>14</v>
      </c>
      <c r="N26" s="27">
        <f>K26*11</f>
        <v>11</v>
      </c>
      <c r="O26" s="31">
        <f>L26*11</f>
        <v>11</v>
      </c>
      <c r="P26" s="27">
        <f t="shared" si="2"/>
        <v>36</v>
      </c>
      <c r="Q26" s="27">
        <v>3</v>
      </c>
      <c r="R26" s="27">
        <v>0</v>
      </c>
      <c r="S26" s="27">
        <v>0</v>
      </c>
      <c r="T26" s="27">
        <f t="shared" si="3"/>
        <v>3</v>
      </c>
      <c r="U26" s="27" t="str">
        <f t="shared" si="4"/>
        <v>OK</v>
      </c>
      <c r="V26" s="27">
        <f t="shared" si="9"/>
        <v>3</v>
      </c>
      <c r="W26" s="27">
        <f t="shared" si="10"/>
        <v>0</v>
      </c>
      <c r="X26" s="27">
        <f t="shared" si="11"/>
        <v>0</v>
      </c>
      <c r="Y26" s="27">
        <f t="shared" si="12"/>
        <v>3</v>
      </c>
      <c r="Z26" s="32"/>
      <c r="AA26" s="32">
        <v>1</v>
      </c>
      <c r="AB26" s="32"/>
      <c r="AC26" s="32">
        <v>1</v>
      </c>
      <c r="AD26" s="32"/>
      <c r="AE26" s="32"/>
      <c r="AF26" s="32">
        <v>1</v>
      </c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3"/>
      <c r="BK26" s="33" t="s">
        <v>164</v>
      </c>
      <c r="BL26" s="33"/>
      <c r="BM26" s="33"/>
      <c r="BN26" s="33"/>
      <c r="BO26" s="27"/>
      <c r="BP26" s="27"/>
    </row>
    <row r="27" spans="1:68" ht="12.95" customHeight="1" x14ac:dyDescent="0.3">
      <c r="A27" s="25">
        <v>25</v>
      </c>
      <c r="B27" s="26" t="s">
        <v>169</v>
      </c>
      <c r="C27" s="27" t="s">
        <v>170</v>
      </c>
      <c r="D27" s="28" t="s">
        <v>171</v>
      </c>
      <c r="E27" s="26" t="str">
        <f>IFERROR(VLOOKUP($D27,[1]DUK!$B$2:$D$57,3,FALSE),"")</f>
        <v>198907302024211016</v>
      </c>
      <c r="F27" s="27" t="s">
        <v>67</v>
      </c>
      <c r="G27" s="28" t="s">
        <v>145</v>
      </c>
      <c r="H27" s="29" t="str">
        <f>VLOOKUP(G27,'[1]03. DAFTAR MAPEL'!$C$3:$E$68,2,FALSE)</f>
        <v>MTK</v>
      </c>
      <c r="I27" s="30" t="s">
        <v>172</v>
      </c>
      <c r="J27" s="27">
        <v>4</v>
      </c>
      <c r="K27" s="27">
        <v>3</v>
      </c>
      <c r="L27" s="27">
        <v>3</v>
      </c>
      <c r="M27" s="27">
        <f t="shared" si="17"/>
        <v>44</v>
      </c>
      <c r="N27" s="27">
        <f t="shared" si="17"/>
        <v>33</v>
      </c>
      <c r="O27" s="31">
        <f t="shared" si="17"/>
        <v>33</v>
      </c>
      <c r="P27" s="27">
        <f t="shared" si="2"/>
        <v>110</v>
      </c>
      <c r="Q27" s="27">
        <v>0</v>
      </c>
      <c r="R27" s="27">
        <v>6</v>
      </c>
      <c r="S27" s="27">
        <v>6</v>
      </c>
      <c r="T27" s="27">
        <f t="shared" si="3"/>
        <v>12</v>
      </c>
      <c r="U27" s="27" t="str">
        <f t="shared" si="4"/>
        <v>OK</v>
      </c>
      <c r="V27" s="27">
        <f t="shared" si="9"/>
        <v>0</v>
      </c>
      <c r="W27" s="27">
        <f t="shared" si="10"/>
        <v>6</v>
      </c>
      <c r="X27" s="27">
        <f t="shared" si="11"/>
        <v>6</v>
      </c>
      <c r="Y27" s="27">
        <f t="shared" si="12"/>
        <v>12</v>
      </c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>
        <v>3</v>
      </c>
      <c r="AX27" s="32">
        <v>3</v>
      </c>
      <c r="AY27" s="32"/>
      <c r="AZ27" s="32">
        <v>3</v>
      </c>
      <c r="BA27" s="32">
        <v>3</v>
      </c>
      <c r="BB27" s="32"/>
      <c r="BC27" s="32"/>
      <c r="BD27" s="32"/>
      <c r="BE27" s="32"/>
      <c r="BF27" s="32"/>
      <c r="BG27" s="32"/>
      <c r="BH27" s="32"/>
      <c r="BI27" s="32"/>
      <c r="BJ27" s="33"/>
      <c r="BK27" s="33" t="s">
        <v>173</v>
      </c>
      <c r="BL27" s="34" t="s">
        <v>174</v>
      </c>
      <c r="BM27" s="34"/>
      <c r="BN27" s="34"/>
      <c r="BO27" s="27"/>
      <c r="BP27" s="27"/>
    </row>
    <row r="28" spans="1:68" ht="12.95" customHeight="1" x14ac:dyDescent="0.3">
      <c r="A28" s="25">
        <v>26</v>
      </c>
      <c r="B28" s="26" t="s">
        <v>175</v>
      </c>
      <c r="C28" s="27" t="s">
        <v>176</v>
      </c>
      <c r="D28" s="28" t="s">
        <v>171</v>
      </c>
      <c r="E28" s="26" t="str">
        <f>IFERROR(VLOOKUP($D28,[1]DUK!$B$2:$D$57,3,FALSE),"")</f>
        <v>198907302024211016</v>
      </c>
      <c r="F28" s="27" t="s">
        <v>67</v>
      </c>
      <c r="G28" s="28" t="s">
        <v>136</v>
      </c>
      <c r="H28" s="29" t="str">
        <f>VLOOKUP(G28,'[1]03. DAFTAR MAPEL'!$C$3:$E$68,2,FALSE)</f>
        <v>MP</v>
      </c>
      <c r="I28" s="30" t="s">
        <v>172</v>
      </c>
      <c r="J28" s="27">
        <v>0</v>
      </c>
      <c r="K28" s="27">
        <v>4</v>
      </c>
      <c r="L28" s="27">
        <v>4</v>
      </c>
      <c r="M28" s="27">
        <f t="shared" ref="M28:M39" si="28">J28*14</f>
        <v>0</v>
      </c>
      <c r="N28" s="27">
        <f>K28*11</f>
        <v>44</v>
      </c>
      <c r="O28" s="31">
        <f>L28*11</f>
        <v>44</v>
      </c>
      <c r="P28" s="27">
        <f t="shared" si="2"/>
        <v>88</v>
      </c>
      <c r="Q28" s="27">
        <v>0</v>
      </c>
      <c r="R28" s="27">
        <v>20</v>
      </c>
      <c r="S28" s="27">
        <v>0</v>
      </c>
      <c r="T28" s="27">
        <f t="shared" si="3"/>
        <v>20</v>
      </c>
      <c r="U28" s="27" t="str">
        <f t="shared" si="4"/>
        <v>OK</v>
      </c>
      <c r="V28" s="27">
        <f t="shared" si="9"/>
        <v>0</v>
      </c>
      <c r="W28" s="27">
        <f t="shared" si="10"/>
        <v>20</v>
      </c>
      <c r="X28" s="27">
        <f t="shared" si="11"/>
        <v>0</v>
      </c>
      <c r="Y28" s="27">
        <f t="shared" si="12"/>
        <v>20</v>
      </c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>
        <v>4</v>
      </c>
      <c r="AP28" s="32">
        <v>4</v>
      </c>
      <c r="AQ28" s="32"/>
      <c r="AR28" s="32"/>
      <c r="AS28" s="32">
        <v>4</v>
      </c>
      <c r="AT28" s="32"/>
      <c r="AU28" s="32"/>
      <c r="AV28" s="32"/>
      <c r="AW28" s="32">
        <v>4</v>
      </c>
      <c r="AX28" s="32">
        <v>4</v>
      </c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3"/>
      <c r="BK28" s="33" t="s">
        <v>173</v>
      </c>
      <c r="BL28" s="34" t="s">
        <v>174</v>
      </c>
      <c r="BM28" s="34"/>
      <c r="BN28" s="34"/>
      <c r="BO28" s="27"/>
      <c r="BP28" s="27"/>
    </row>
    <row r="29" spans="1:68" ht="12.95" customHeight="1" x14ac:dyDescent="0.3">
      <c r="A29" s="25">
        <v>27</v>
      </c>
      <c r="B29" s="26" t="s">
        <v>177</v>
      </c>
      <c r="C29" s="27" t="s">
        <v>178</v>
      </c>
      <c r="D29" s="28" t="s">
        <v>171</v>
      </c>
      <c r="E29" s="26" t="str">
        <f>IFERROR(VLOOKUP($D29,[1]DUK!$B$2:$D$57,3,FALSE),"")</f>
        <v>198907302024211016</v>
      </c>
      <c r="F29" s="27" t="s">
        <v>67</v>
      </c>
      <c r="G29" s="28" t="s">
        <v>179</v>
      </c>
      <c r="H29" s="29" t="str">
        <f>VLOOKUP(G29,'[1]03. DAFTAR MAPEL'!$C$3:$E$68,2,FALSE)</f>
        <v>MULOK XI</v>
      </c>
      <c r="I29" s="30" t="s">
        <v>172</v>
      </c>
      <c r="J29" s="27">
        <v>0</v>
      </c>
      <c r="K29" s="27">
        <v>2</v>
      </c>
      <c r="L29" s="27">
        <v>0</v>
      </c>
      <c r="M29" s="27">
        <f t="shared" si="28"/>
        <v>0</v>
      </c>
      <c r="N29" s="27">
        <f>K29*11</f>
        <v>22</v>
      </c>
      <c r="O29" s="31">
        <f>L29*11</f>
        <v>0</v>
      </c>
      <c r="P29" s="27">
        <f t="shared" si="2"/>
        <v>22</v>
      </c>
      <c r="Q29" s="27">
        <v>0</v>
      </c>
      <c r="R29" s="27">
        <v>2</v>
      </c>
      <c r="S29" s="27">
        <v>0</v>
      </c>
      <c r="T29" s="27">
        <f t="shared" si="3"/>
        <v>2</v>
      </c>
      <c r="U29" s="27" t="str">
        <f t="shared" si="4"/>
        <v>OK</v>
      </c>
      <c r="V29" s="27">
        <f t="shared" ref="V29" si="29">SUM(Z29:AM29)</f>
        <v>0</v>
      </c>
      <c r="W29" s="27">
        <f t="shared" ref="W29" si="30">SUM(AN29:AX29)</f>
        <v>2</v>
      </c>
      <c r="X29" s="27">
        <f t="shared" ref="X29" si="31">SUM(AY29:BI29)</f>
        <v>0</v>
      </c>
      <c r="Y29" s="27">
        <f t="shared" ref="Y29" si="32">SUM(V29:X29)</f>
        <v>2</v>
      </c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>
        <v>2</v>
      </c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3"/>
      <c r="BK29" s="33" t="s">
        <v>173</v>
      </c>
      <c r="BL29" s="34" t="s">
        <v>174</v>
      </c>
      <c r="BM29" s="34"/>
      <c r="BN29" s="34"/>
      <c r="BO29" s="27"/>
      <c r="BP29" s="27"/>
    </row>
    <row r="30" spans="1:68" x14ac:dyDescent="0.3">
      <c r="A30" s="25">
        <v>28</v>
      </c>
      <c r="B30" s="26" t="s">
        <v>180</v>
      </c>
      <c r="C30" s="27" t="s">
        <v>181</v>
      </c>
      <c r="D30" s="28" t="s">
        <v>182</v>
      </c>
      <c r="E30" s="26" t="str">
        <f>IFERROR(VLOOKUP($D30,[1]DUK!$B$2:$D$57,3,FALSE),"")</f>
        <v>198806082025212145</v>
      </c>
      <c r="F30" s="27" t="s">
        <v>100</v>
      </c>
      <c r="G30" s="28" t="s">
        <v>145</v>
      </c>
      <c r="H30" s="29" t="str">
        <f>VLOOKUP(G30,'[1]03. DAFTAR MAPEL'!$C$3:$E$68,2,FALSE)</f>
        <v>MTK</v>
      </c>
      <c r="I30" s="30" t="s">
        <v>183</v>
      </c>
      <c r="J30" s="27">
        <v>4</v>
      </c>
      <c r="K30" s="27">
        <v>3</v>
      </c>
      <c r="L30" s="27">
        <v>3</v>
      </c>
      <c r="M30" s="27">
        <f t="shared" si="28"/>
        <v>56</v>
      </c>
      <c r="N30" s="27">
        <f t="shared" si="17"/>
        <v>33</v>
      </c>
      <c r="O30" s="31">
        <f t="shared" si="17"/>
        <v>33</v>
      </c>
      <c r="P30" s="27">
        <f t="shared" si="2"/>
        <v>122</v>
      </c>
      <c r="Q30" s="27">
        <v>24</v>
      </c>
      <c r="R30" s="27">
        <v>0</v>
      </c>
      <c r="S30" s="27">
        <v>6</v>
      </c>
      <c r="T30" s="27">
        <f t="shared" si="3"/>
        <v>30</v>
      </c>
      <c r="U30" s="27" t="str">
        <f t="shared" si="4"/>
        <v>OK</v>
      </c>
      <c r="V30" s="27">
        <f t="shared" si="9"/>
        <v>24</v>
      </c>
      <c r="W30" s="27">
        <f t="shared" si="10"/>
        <v>0</v>
      </c>
      <c r="X30" s="27">
        <f t="shared" si="11"/>
        <v>6</v>
      </c>
      <c r="Y30" s="27">
        <f t="shared" si="12"/>
        <v>30</v>
      </c>
      <c r="Z30" s="32"/>
      <c r="AA30" s="32"/>
      <c r="AB30" s="32"/>
      <c r="AC30" s="32"/>
      <c r="AD30" s="32"/>
      <c r="AE30" s="32">
        <v>4</v>
      </c>
      <c r="AF30" s="32"/>
      <c r="AG30" s="32">
        <v>4</v>
      </c>
      <c r="AH30" s="32">
        <v>4</v>
      </c>
      <c r="AI30" s="32">
        <v>4</v>
      </c>
      <c r="AJ30" s="32">
        <v>4</v>
      </c>
      <c r="AK30" s="32">
        <v>4</v>
      </c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>
        <v>3</v>
      </c>
      <c r="BD30" s="32"/>
      <c r="BE30" s="32"/>
      <c r="BF30" s="32">
        <v>3</v>
      </c>
      <c r="BG30" s="32"/>
      <c r="BH30" s="32"/>
      <c r="BI30" s="32"/>
      <c r="BJ30" s="33"/>
      <c r="BK30" s="33" t="s">
        <v>184</v>
      </c>
      <c r="BL30" s="34"/>
      <c r="BM30" s="34"/>
      <c r="BN30" s="34"/>
      <c r="BO30" s="27"/>
      <c r="BP30" s="27"/>
    </row>
    <row r="31" spans="1:68" ht="15.75" x14ac:dyDescent="0.3">
      <c r="A31" s="25">
        <v>29</v>
      </c>
      <c r="B31" s="26" t="s">
        <v>185</v>
      </c>
      <c r="C31" s="27" t="s">
        <v>186</v>
      </c>
      <c r="D31" s="28" t="s">
        <v>182</v>
      </c>
      <c r="E31" s="26" t="str">
        <f>IFERROR(VLOOKUP($D31,[1]DUK!$B$2:$D$57,3,FALSE),"")</f>
        <v>198806082025212145</v>
      </c>
      <c r="F31" s="27" t="s">
        <v>100</v>
      </c>
      <c r="G31" s="37" t="s">
        <v>119</v>
      </c>
      <c r="H31" s="29" t="str">
        <f>VLOOKUP(G31,'[1]03. DAFTAR MAPEL'!$C$3:$E$68,2,FALSE)</f>
        <v>BP/BK</v>
      </c>
      <c r="I31" s="30" t="s">
        <v>183</v>
      </c>
      <c r="J31" s="27">
        <v>1</v>
      </c>
      <c r="K31" s="27">
        <v>1</v>
      </c>
      <c r="L31" s="27">
        <v>1</v>
      </c>
      <c r="M31" s="27">
        <f t="shared" si="28"/>
        <v>14</v>
      </c>
      <c r="N31" s="27">
        <f>K31*11</f>
        <v>11</v>
      </c>
      <c r="O31" s="31">
        <f>L31*11</f>
        <v>11</v>
      </c>
      <c r="P31" s="27">
        <f t="shared" si="2"/>
        <v>36</v>
      </c>
      <c r="Q31" s="27">
        <v>2</v>
      </c>
      <c r="R31" s="27">
        <v>1</v>
      </c>
      <c r="S31" s="27">
        <v>0</v>
      </c>
      <c r="T31" s="27">
        <f t="shared" si="3"/>
        <v>3</v>
      </c>
      <c r="U31" s="27" t="str">
        <f t="shared" si="4"/>
        <v>OK</v>
      </c>
      <c r="V31" s="27">
        <f t="shared" si="9"/>
        <v>2</v>
      </c>
      <c r="W31" s="27">
        <f t="shared" si="10"/>
        <v>1</v>
      </c>
      <c r="X31" s="27">
        <f t="shared" si="11"/>
        <v>0</v>
      </c>
      <c r="Y31" s="27">
        <f t="shared" si="12"/>
        <v>3</v>
      </c>
      <c r="Z31" s="32"/>
      <c r="AA31" s="32"/>
      <c r="AB31" s="32"/>
      <c r="AC31" s="32"/>
      <c r="AD31" s="32"/>
      <c r="AE31" s="32"/>
      <c r="AF31" s="32"/>
      <c r="AG31" s="32">
        <v>1</v>
      </c>
      <c r="AH31" s="32">
        <v>1</v>
      </c>
      <c r="AI31" s="32"/>
      <c r="AJ31" s="32"/>
      <c r="AK31" s="32"/>
      <c r="AL31" s="32"/>
      <c r="AM31" s="32"/>
      <c r="AN31" s="32"/>
      <c r="AO31" s="32"/>
      <c r="AP31" s="32">
        <v>1</v>
      </c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3"/>
      <c r="BK31" s="33" t="s">
        <v>184</v>
      </c>
      <c r="BL31" s="34"/>
      <c r="BM31" s="34"/>
      <c r="BN31" s="34"/>
      <c r="BO31" s="27"/>
      <c r="BP31" s="27"/>
    </row>
    <row r="32" spans="1:68" ht="12.95" customHeight="1" x14ac:dyDescent="0.3">
      <c r="A32" s="25">
        <v>30</v>
      </c>
      <c r="B32" s="26" t="s">
        <v>187</v>
      </c>
      <c r="C32" s="27" t="s">
        <v>188</v>
      </c>
      <c r="D32" s="28" t="s">
        <v>189</v>
      </c>
      <c r="E32" s="26" t="str">
        <f>IFERROR(VLOOKUP($D32,[1]DUK!$B$2:$D$57,3,FALSE),"")</f>
        <v>199306272025212154</v>
      </c>
      <c r="F32" s="27" t="s">
        <v>100</v>
      </c>
      <c r="G32" s="28" t="s">
        <v>145</v>
      </c>
      <c r="H32" s="29" t="str">
        <f>VLOOKUP(G32,'[1]03. DAFTAR MAPEL'!$C$3:$E$68,2,FALSE)</f>
        <v>MTK</v>
      </c>
      <c r="I32" s="30" t="s">
        <v>190</v>
      </c>
      <c r="J32" s="27">
        <v>4</v>
      </c>
      <c r="K32" s="27">
        <v>3</v>
      </c>
      <c r="L32" s="27">
        <v>3</v>
      </c>
      <c r="M32" s="27">
        <f t="shared" si="28"/>
        <v>56</v>
      </c>
      <c r="N32" s="27">
        <f t="shared" si="17"/>
        <v>33</v>
      </c>
      <c r="O32" s="31">
        <f t="shared" si="17"/>
        <v>33</v>
      </c>
      <c r="P32" s="27">
        <f t="shared" si="2"/>
        <v>122</v>
      </c>
      <c r="Q32" s="27">
        <v>24</v>
      </c>
      <c r="R32" s="27">
        <v>0</v>
      </c>
      <c r="S32" s="27">
        <v>6</v>
      </c>
      <c r="T32" s="27">
        <f t="shared" si="3"/>
        <v>30</v>
      </c>
      <c r="U32" s="27" t="str">
        <f t="shared" si="4"/>
        <v>OK</v>
      </c>
      <c r="V32" s="27">
        <f t="shared" si="9"/>
        <v>24</v>
      </c>
      <c r="W32" s="27">
        <f t="shared" si="10"/>
        <v>0</v>
      </c>
      <c r="X32" s="27">
        <f t="shared" si="11"/>
        <v>6</v>
      </c>
      <c r="Y32" s="27">
        <f t="shared" si="12"/>
        <v>30</v>
      </c>
      <c r="Z32" s="32">
        <v>4</v>
      </c>
      <c r="AA32" s="32">
        <v>4</v>
      </c>
      <c r="AB32" s="32">
        <v>4</v>
      </c>
      <c r="AC32" s="32">
        <v>4</v>
      </c>
      <c r="AD32" s="32">
        <v>4</v>
      </c>
      <c r="AE32" s="32"/>
      <c r="AF32" s="32">
        <v>4</v>
      </c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>
        <v>3</v>
      </c>
      <c r="BE32" s="32">
        <v>3</v>
      </c>
      <c r="BF32" s="32"/>
      <c r="BG32" s="32"/>
      <c r="BH32" s="32"/>
      <c r="BI32" s="32"/>
      <c r="BJ32" s="33"/>
      <c r="BK32" s="33" t="s">
        <v>191</v>
      </c>
      <c r="BL32" s="34" t="s">
        <v>174</v>
      </c>
      <c r="BM32" s="34"/>
      <c r="BN32" s="34"/>
      <c r="BO32" s="27"/>
      <c r="BP32" s="27"/>
    </row>
    <row r="33" spans="1:68" ht="12.95" customHeight="1" x14ac:dyDescent="0.3">
      <c r="A33" s="25">
        <v>31</v>
      </c>
      <c r="B33" s="26" t="s">
        <v>192</v>
      </c>
      <c r="C33" s="27" t="s">
        <v>193</v>
      </c>
      <c r="D33" s="28" t="s">
        <v>189</v>
      </c>
      <c r="E33" s="26" t="str">
        <f>IFERROR(VLOOKUP($D33,[1]DUK!$B$2:$D$57,3,FALSE),"")</f>
        <v>199306272025212154</v>
      </c>
      <c r="F33" s="27" t="s">
        <v>100</v>
      </c>
      <c r="G33" s="28" t="s">
        <v>179</v>
      </c>
      <c r="H33" s="29" t="str">
        <f>VLOOKUP(G33,'[1]03. DAFTAR MAPEL'!$C$3:$E$68,2,FALSE)</f>
        <v>MULOK XI</v>
      </c>
      <c r="I33" s="30" t="s">
        <v>190</v>
      </c>
      <c r="J33" s="27">
        <v>0</v>
      </c>
      <c r="K33" s="27">
        <v>2</v>
      </c>
      <c r="L33" s="27">
        <v>0</v>
      </c>
      <c r="M33" s="27">
        <f t="shared" si="28"/>
        <v>0</v>
      </c>
      <c r="N33" s="27">
        <f>K33*11</f>
        <v>22</v>
      </c>
      <c r="O33" s="31">
        <f>L33*11</f>
        <v>0</v>
      </c>
      <c r="P33" s="27">
        <f t="shared" si="2"/>
        <v>22</v>
      </c>
      <c r="Q33" s="27">
        <v>0</v>
      </c>
      <c r="R33" s="27">
        <v>4</v>
      </c>
      <c r="S33" s="27">
        <v>0</v>
      </c>
      <c r="T33" s="27">
        <f t="shared" si="3"/>
        <v>4</v>
      </c>
      <c r="U33" s="27" t="str">
        <f t="shared" si="4"/>
        <v>OK</v>
      </c>
      <c r="V33" s="27">
        <f t="shared" si="9"/>
        <v>0</v>
      </c>
      <c r="W33" s="27">
        <f t="shared" si="10"/>
        <v>4</v>
      </c>
      <c r="X33" s="27">
        <f t="shared" si="11"/>
        <v>0</v>
      </c>
      <c r="Y33" s="27">
        <f t="shared" si="12"/>
        <v>4</v>
      </c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>
        <v>2</v>
      </c>
      <c r="AR33" s="32"/>
      <c r="AS33" s="32">
        <v>2</v>
      </c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3"/>
      <c r="BK33" s="33" t="s">
        <v>191</v>
      </c>
      <c r="BL33" s="34" t="s">
        <v>174</v>
      </c>
      <c r="BM33" s="34"/>
      <c r="BN33" s="34"/>
      <c r="BO33" s="27"/>
      <c r="BP33" s="27"/>
    </row>
    <row r="34" spans="1:68" x14ac:dyDescent="0.3">
      <c r="A34" s="25">
        <v>32</v>
      </c>
      <c r="B34" s="26" t="s">
        <v>194</v>
      </c>
      <c r="C34" s="27" t="s">
        <v>195</v>
      </c>
      <c r="D34" s="28" t="s">
        <v>196</v>
      </c>
      <c r="E34" s="26" t="str">
        <f>IFERROR(VLOOKUP($D34,[1]DUK!$B$2:$D$57,3,FALSE),"")</f>
        <v>196907092008011004</v>
      </c>
      <c r="F34" s="27" t="s">
        <v>135</v>
      </c>
      <c r="G34" s="28" t="s">
        <v>105</v>
      </c>
      <c r="H34" s="29" t="str">
        <f>VLOOKUP(G34,'[1]03. DAFTAR MAPEL'!$C$3:$E$68,2,FALSE)</f>
        <v>SEJ</v>
      </c>
      <c r="I34" s="30" t="s">
        <v>197</v>
      </c>
      <c r="J34" s="27">
        <v>2</v>
      </c>
      <c r="K34" s="27">
        <v>2</v>
      </c>
      <c r="L34" s="27">
        <v>0</v>
      </c>
      <c r="M34" s="27">
        <f t="shared" si="28"/>
        <v>28</v>
      </c>
      <c r="N34" s="27">
        <f>K34*11</f>
        <v>22</v>
      </c>
      <c r="O34" s="31">
        <f t="shared" ref="O34:O53" si="33">L34*11</f>
        <v>0</v>
      </c>
      <c r="P34" s="27">
        <f t="shared" si="2"/>
        <v>50</v>
      </c>
      <c r="Q34" s="27">
        <v>28</v>
      </c>
      <c r="R34" s="27">
        <v>2</v>
      </c>
      <c r="S34" s="27">
        <v>0</v>
      </c>
      <c r="T34" s="27">
        <f t="shared" si="3"/>
        <v>30</v>
      </c>
      <c r="U34" s="27" t="str">
        <f t="shared" si="4"/>
        <v>OK</v>
      </c>
      <c r="V34" s="27">
        <f t="shared" si="5"/>
        <v>28</v>
      </c>
      <c r="W34" s="27">
        <f t="shared" si="6"/>
        <v>2</v>
      </c>
      <c r="X34" s="27">
        <f t="shared" si="7"/>
        <v>0</v>
      </c>
      <c r="Y34" s="27">
        <f t="shared" si="8"/>
        <v>30</v>
      </c>
      <c r="Z34" s="32">
        <v>2</v>
      </c>
      <c r="AA34" s="32">
        <v>2</v>
      </c>
      <c r="AB34" s="32">
        <v>2</v>
      </c>
      <c r="AC34" s="32">
        <v>2</v>
      </c>
      <c r="AD34" s="32">
        <v>2</v>
      </c>
      <c r="AE34" s="32">
        <v>2</v>
      </c>
      <c r="AF34" s="32">
        <v>2</v>
      </c>
      <c r="AG34" s="32">
        <v>2</v>
      </c>
      <c r="AH34" s="32">
        <v>2</v>
      </c>
      <c r="AI34" s="32">
        <v>2</v>
      </c>
      <c r="AJ34" s="32">
        <v>2</v>
      </c>
      <c r="AK34" s="32">
        <v>2</v>
      </c>
      <c r="AL34" s="32">
        <v>2</v>
      </c>
      <c r="AM34" s="32">
        <v>2</v>
      </c>
      <c r="AN34" s="32"/>
      <c r="AO34" s="32"/>
      <c r="AP34" s="32"/>
      <c r="AQ34" s="32"/>
      <c r="AR34" s="32">
        <v>2</v>
      </c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3" t="s">
        <v>198</v>
      </c>
      <c r="BK34" s="33"/>
      <c r="BL34" s="34"/>
      <c r="BM34" s="34"/>
      <c r="BN34" s="34"/>
      <c r="BO34" s="27"/>
      <c r="BP34" s="27"/>
    </row>
    <row r="35" spans="1:68" x14ac:dyDescent="0.3">
      <c r="A35" s="25">
        <v>33</v>
      </c>
      <c r="B35" s="26" t="s">
        <v>199</v>
      </c>
      <c r="C35" s="27" t="s">
        <v>200</v>
      </c>
      <c r="D35" s="28" t="s">
        <v>201</v>
      </c>
      <c r="E35" s="26" t="str">
        <f>IFERROR(VLOOKUP($D35,[1]DUK!$B$2:$D$57,3,FALSE),"")</f>
        <v>198502262014122001</v>
      </c>
      <c r="F35" s="27" t="s">
        <v>135</v>
      </c>
      <c r="G35" s="28" t="s">
        <v>202</v>
      </c>
      <c r="H35" s="29" t="str">
        <f>VLOOKUP(G35,'[1]03. DAFTAR MAPEL'!$C$3:$E$68,2,FALSE)</f>
        <v>B. INGG</v>
      </c>
      <c r="I35" s="30" t="s">
        <v>203</v>
      </c>
      <c r="J35" s="27">
        <v>4</v>
      </c>
      <c r="K35" s="27">
        <v>4</v>
      </c>
      <c r="L35" s="27">
        <v>4</v>
      </c>
      <c r="M35" s="27">
        <f t="shared" si="28"/>
        <v>56</v>
      </c>
      <c r="N35" s="27">
        <f>K35*11</f>
        <v>44</v>
      </c>
      <c r="O35" s="31">
        <f t="shared" si="33"/>
        <v>44</v>
      </c>
      <c r="P35" s="27">
        <f t="shared" si="2"/>
        <v>144</v>
      </c>
      <c r="Q35" s="27">
        <v>16</v>
      </c>
      <c r="R35" s="27">
        <v>8</v>
      </c>
      <c r="S35" s="27">
        <v>12</v>
      </c>
      <c r="T35" s="27">
        <f t="shared" si="3"/>
        <v>36</v>
      </c>
      <c r="U35" s="27" t="str">
        <f t="shared" si="4"/>
        <v>OK</v>
      </c>
      <c r="V35" s="27">
        <f t="shared" si="5"/>
        <v>16</v>
      </c>
      <c r="W35" s="27">
        <f t="shared" si="6"/>
        <v>8</v>
      </c>
      <c r="X35" s="27">
        <f t="shared" si="7"/>
        <v>12</v>
      </c>
      <c r="Y35" s="27">
        <f t="shared" si="8"/>
        <v>36</v>
      </c>
      <c r="Z35" s="32"/>
      <c r="AA35" s="32"/>
      <c r="AB35" s="32">
        <v>4</v>
      </c>
      <c r="AC35" s="32">
        <v>4</v>
      </c>
      <c r="AD35" s="32"/>
      <c r="AE35" s="32">
        <v>4</v>
      </c>
      <c r="AF35" s="32">
        <v>4</v>
      </c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>
        <v>4</v>
      </c>
      <c r="AS35" s="32">
        <v>4</v>
      </c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>
        <v>4</v>
      </c>
      <c r="BG35" s="32"/>
      <c r="BH35" s="32">
        <v>4</v>
      </c>
      <c r="BI35" s="32">
        <v>4</v>
      </c>
      <c r="BJ35" s="33" t="s">
        <v>204</v>
      </c>
      <c r="BK35" s="33" t="s">
        <v>205</v>
      </c>
      <c r="BL35" s="34"/>
      <c r="BM35" s="34" t="s">
        <v>206</v>
      </c>
      <c r="BN35" s="34"/>
      <c r="BO35" s="27"/>
      <c r="BP35" s="27"/>
    </row>
    <row r="36" spans="1:68" ht="12.95" customHeight="1" x14ac:dyDescent="0.3">
      <c r="A36" s="25">
        <v>34</v>
      </c>
      <c r="B36" s="26" t="s">
        <v>207</v>
      </c>
      <c r="C36" s="27" t="s">
        <v>208</v>
      </c>
      <c r="D36" s="28" t="s">
        <v>209</v>
      </c>
      <c r="E36" s="26" t="str">
        <f>IFERROR(VLOOKUP($D36,[1]DUK!$B$2:$D$57,3,FALSE),"")</f>
        <v>197609042024212002</v>
      </c>
      <c r="F36" s="27" t="s">
        <v>67</v>
      </c>
      <c r="G36" s="28" t="s">
        <v>202</v>
      </c>
      <c r="H36" s="29" t="str">
        <f>VLOOKUP(G36,'[1]03. DAFTAR MAPEL'!$C$3:$E$68,2,FALSE)</f>
        <v>B. INGG</v>
      </c>
      <c r="I36" s="30" t="s">
        <v>210</v>
      </c>
      <c r="J36" s="27">
        <v>4</v>
      </c>
      <c r="K36" s="27">
        <v>4</v>
      </c>
      <c r="L36" s="27">
        <v>4</v>
      </c>
      <c r="M36" s="27">
        <f t="shared" si="28"/>
        <v>56</v>
      </c>
      <c r="N36" s="27">
        <f t="shared" ref="M36:N48" si="34">K36*11</f>
        <v>44</v>
      </c>
      <c r="O36" s="31">
        <f t="shared" si="33"/>
        <v>44</v>
      </c>
      <c r="P36" s="27">
        <f t="shared" si="2"/>
        <v>144</v>
      </c>
      <c r="Q36" s="27">
        <v>16</v>
      </c>
      <c r="R36" s="27">
        <v>8</v>
      </c>
      <c r="S36" s="27">
        <v>12</v>
      </c>
      <c r="T36" s="27">
        <f t="shared" si="3"/>
        <v>36</v>
      </c>
      <c r="U36" s="27" t="str">
        <f t="shared" si="4"/>
        <v>OK</v>
      </c>
      <c r="V36" s="27">
        <f t="shared" ref="V36" si="35">SUM(Z36:AM36)</f>
        <v>16</v>
      </c>
      <c r="W36" s="27">
        <f t="shared" ref="W36" si="36">SUM(AN36:AX36)</f>
        <v>8</v>
      </c>
      <c r="X36" s="27">
        <f t="shared" ref="X36" si="37">SUM(AY36:BI36)</f>
        <v>12</v>
      </c>
      <c r="Y36" s="27">
        <f t="shared" si="8"/>
        <v>36</v>
      </c>
      <c r="Z36" s="32">
        <v>4</v>
      </c>
      <c r="AA36" s="32">
        <v>4</v>
      </c>
      <c r="AB36" s="32"/>
      <c r="AC36" s="32"/>
      <c r="AD36" s="32">
        <v>4</v>
      </c>
      <c r="AE36" s="32"/>
      <c r="AF36" s="32"/>
      <c r="AG36" s="32">
        <v>4</v>
      </c>
      <c r="AH36" s="32"/>
      <c r="AI36" s="32"/>
      <c r="AJ36" s="32"/>
      <c r="AK36" s="32"/>
      <c r="AL36" s="32"/>
      <c r="AM36" s="32"/>
      <c r="AN36" s="32"/>
      <c r="AO36" s="32"/>
      <c r="AP36" s="32">
        <v>4</v>
      </c>
      <c r="AQ36" s="32">
        <v>4</v>
      </c>
      <c r="AR36" s="32"/>
      <c r="AS36" s="32"/>
      <c r="AT36" s="32"/>
      <c r="AU36" s="32"/>
      <c r="AV36" s="32"/>
      <c r="AW36" s="32"/>
      <c r="AX36" s="32"/>
      <c r="AY36" s="32"/>
      <c r="AZ36" s="32">
        <v>4</v>
      </c>
      <c r="BA36" s="32">
        <v>4</v>
      </c>
      <c r="BB36" s="32"/>
      <c r="BC36" s="32">
        <v>4</v>
      </c>
      <c r="BD36" s="32"/>
      <c r="BE36" s="32"/>
      <c r="BF36" s="32"/>
      <c r="BG36" s="32"/>
      <c r="BH36" s="32"/>
      <c r="BI36" s="32"/>
      <c r="BJ36" s="33"/>
      <c r="BK36" s="33" t="s">
        <v>211</v>
      </c>
      <c r="BL36" s="34"/>
      <c r="BM36" s="34"/>
      <c r="BN36" s="34"/>
      <c r="BO36" s="27"/>
      <c r="BP36" s="27"/>
    </row>
    <row r="37" spans="1:68" ht="12.95" customHeight="1" x14ac:dyDescent="0.3">
      <c r="A37" s="25">
        <v>35</v>
      </c>
      <c r="B37" s="26" t="s">
        <v>212</v>
      </c>
      <c r="C37" s="27" t="s">
        <v>213</v>
      </c>
      <c r="D37" s="28" t="s">
        <v>214</v>
      </c>
      <c r="E37" s="26" t="str">
        <f>IFERROR(VLOOKUP($D37,[1]DUK!$B$2:$D$57,3,FALSE),"")</f>
        <v>198808302024212015</v>
      </c>
      <c r="F37" s="27" t="s">
        <v>67</v>
      </c>
      <c r="G37" s="28" t="s">
        <v>202</v>
      </c>
      <c r="H37" s="29" t="str">
        <f>VLOOKUP(G37,'[1]03. DAFTAR MAPEL'!$C$3:$E$68,2,FALSE)</f>
        <v>B. INGG</v>
      </c>
      <c r="I37" s="30" t="s">
        <v>215</v>
      </c>
      <c r="J37" s="27">
        <v>4</v>
      </c>
      <c r="K37" s="27">
        <v>4</v>
      </c>
      <c r="L37" s="27">
        <v>4</v>
      </c>
      <c r="M37" s="27">
        <f t="shared" si="28"/>
        <v>56</v>
      </c>
      <c r="N37" s="27">
        <f t="shared" si="34"/>
        <v>44</v>
      </c>
      <c r="O37" s="31">
        <f t="shared" si="33"/>
        <v>44</v>
      </c>
      <c r="P37" s="27">
        <f t="shared" si="2"/>
        <v>144</v>
      </c>
      <c r="Q37" s="27">
        <v>16</v>
      </c>
      <c r="R37" s="27">
        <v>8</v>
      </c>
      <c r="S37" s="27">
        <v>12</v>
      </c>
      <c r="T37" s="27">
        <f t="shared" si="3"/>
        <v>36</v>
      </c>
      <c r="U37" s="27" t="str">
        <f t="shared" si="4"/>
        <v>OK</v>
      </c>
      <c r="V37" s="27">
        <f t="shared" si="5"/>
        <v>16</v>
      </c>
      <c r="W37" s="27">
        <f t="shared" si="6"/>
        <v>8</v>
      </c>
      <c r="X37" s="27">
        <f t="shared" si="7"/>
        <v>12</v>
      </c>
      <c r="Y37" s="27">
        <f t="shared" si="8"/>
        <v>36</v>
      </c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>
        <v>4</v>
      </c>
      <c r="AK37" s="32">
        <v>4</v>
      </c>
      <c r="AL37" s="32">
        <v>4</v>
      </c>
      <c r="AM37" s="32">
        <v>4</v>
      </c>
      <c r="AN37" s="32"/>
      <c r="AO37" s="32"/>
      <c r="AP37" s="32"/>
      <c r="AQ37" s="32"/>
      <c r="AR37" s="32"/>
      <c r="AS37" s="32"/>
      <c r="AT37" s="32">
        <v>4</v>
      </c>
      <c r="AU37" s="32">
        <v>4</v>
      </c>
      <c r="AV37" s="32"/>
      <c r="AW37" s="32"/>
      <c r="AX37" s="32"/>
      <c r="AY37" s="32"/>
      <c r="AZ37" s="32"/>
      <c r="BA37" s="32"/>
      <c r="BB37" s="32">
        <v>4</v>
      </c>
      <c r="BC37" s="32"/>
      <c r="BD37" s="32">
        <v>4</v>
      </c>
      <c r="BE37" s="32">
        <v>4</v>
      </c>
      <c r="BF37" s="32"/>
      <c r="BG37" s="32"/>
      <c r="BH37" s="32"/>
      <c r="BI37" s="32"/>
      <c r="BJ37" s="33"/>
      <c r="BK37" s="33" t="s">
        <v>216</v>
      </c>
      <c r="BL37" s="34"/>
      <c r="BM37" s="34" t="s">
        <v>217</v>
      </c>
      <c r="BN37" s="34"/>
      <c r="BO37" s="27"/>
      <c r="BP37" s="27"/>
    </row>
    <row r="38" spans="1:68" x14ac:dyDescent="0.3">
      <c r="A38" s="25">
        <v>36</v>
      </c>
      <c r="B38" s="26" t="s">
        <v>218</v>
      </c>
      <c r="C38" s="27" t="s">
        <v>219</v>
      </c>
      <c r="D38" s="28" t="s">
        <v>220</v>
      </c>
      <c r="E38" s="26" t="str">
        <f>IFERROR(VLOOKUP($D38,[1]DUK!$B$2:$D$57,3,FALSE),"")</f>
        <v>198707052025212009</v>
      </c>
      <c r="F38" s="27" t="s">
        <v>67</v>
      </c>
      <c r="G38" s="28" t="s">
        <v>202</v>
      </c>
      <c r="H38" s="29" t="str">
        <f>VLOOKUP(G38,'[1]03. DAFTAR MAPEL'!$C$3:$E$68,2,FALSE)</f>
        <v>B. INGG</v>
      </c>
      <c r="I38" s="30" t="s">
        <v>221</v>
      </c>
      <c r="J38" s="27">
        <v>4</v>
      </c>
      <c r="K38" s="27">
        <v>4</v>
      </c>
      <c r="L38" s="27">
        <v>4</v>
      </c>
      <c r="M38" s="27">
        <f t="shared" si="28"/>
        <v>56</v>
      </c>
      <c r="N38" s="27">
        <f t="shared" si="34"/>
        <v>44</v>
      </c>
      <c r="O38" s="31">
        <f t="shared" si="33"/>
        <v>44</v>
      </c>
      <c r="P38" s="27">
        <f t="shared" si="2"/>
        <v>144</v>
      </c>
      <c r="Q38" s="27">
        <v>8</v>
      </c>
      <c r="R38" s="27">
        <v>20</v>
      </c>
      <c r="S38" s="27">
        <v>8</v>
      </c>
      <c r="T38" s="27">
        <f t="shared" si="3"/>
        <v>36</v>
      </c>
      <c r="U38" s="27" t="str">
        <f t="shared" si="4"/>
        <v>OK</v>
      </c>
      <c r="V38" s="27">
        <f t="shared" si="5"/>
        <v>8</v>
      </c>
      <c r="W38" s="27">
        <f t="shared" si="6"/>
        <v>20</v>
      </c>
      <c r="X38" s="27">
        <f t="shared" si="7"/>
        <v>8</v>
      </c>
      <c r="Y38" s="27">
        <f t="shared" si="8"/>
        <v>36</v>
      </c>
      <c r="Z38" s="32"/>
      <c r="AA38" s="32"/>
      <c r="AB38" s="32"/>
      <c r="AC38" s="32"/>
      <c r="AD38" s="32"/>
      <c r="AE38" s="32"/>
      <c r="AF38" s="32"/>
      <c r="AG38" s="32"/>
      <c r="AH38" s="32">
        <v>4</v>
      </c>
      <c r="AI38" s="32">
        <v>4</v>
      </c>
      <c r="AJ38" s="32"/>
      <c r="AK38" s="32"/>
      <c r="AL38" s="32"/>
      <c r="AM38" s="32"/>
      <c r="AN38" s="32">
        <v>4</v>
      </c>
      <c r="AO38" s="32">
        <v>4</v>
      </c>
      <c r="AP38" s="32"/>
      <c r="AQ38" s="32"/>
      <c r="AR38" s="32"/>
      <c r="AS38" s="32"/>
      <c r="AT38" s="32"/>
      <c r="AU38" s="32"/>
      <c r="AV38" s="32">
        <v>4</v>
      </c>
      <c r="AW38" s="32">
        <v>4</v>
      </c>
      <c r="AX38" s="32">
        <v>4</v>
      </c>
      <c r="AY38" s="32">
        <v>4</v>
      </c>
      <c r="AZ38" s="32"/>
      <c r="BA38" s="32"/>
      <c r="BB38" s="32"/>
      <c r="BC38" s="32"/>
      <c r="BD38" s="32"/>
      <c r="BE38" s="32"/>
      <c r="BF38" s="32"/>
      <c r="BG38" s="32">
        <v>4</v>
      </c>
      <c r="BH38" s="32"/>
      <c r="BI38" s="32"/>
      <c r="BJ38" s="33"/>
      <c r="BK38" s="33" t="s">
        <v>222</v>
      </c>
      <c r="BL38" s="34" t="s">
        <v>223</v>
      </c>
      <c r="BM38" s="34"/>
      <c r="BN38" s="34"/>
      <c r="BO38" s="27"/>
      <c r="BP38" s="27"/>
    </row>
    <row r="39" spans="1:68" x14ac:dyDescent="0.3">
      <c r="A39" s="25">
        <v>37</v>
      </c>
      <c r="B39" s="26" t="s">
        <v>224</v>
      </c>
      <c r="C39" s="27" t="s">
        <v>225</v>
      </c>
      <c r="D39" s="28" t="s">
        <v>226</v>
      </c>
      <c r="E39" s="26" t="str">
        <f>IFERROR(VLOOKUP($D39,[1]DUK!$B$2:$D$57,3,FALSE),"")</f>
        <v>197309182022211003</v>
      </c>
      <c r="F39" s="27" t="s">
        <v>67</v>
      </c>
      <c r="G39" s="28" t="s">
        <v>227</v>
      </c>
      <c r="H39" s="29" t="str">
        <f>VLOOKUP(G39,'[1]03. DAFTAR MAPEL'!$C$3:$E$68,2,FALSE)</f>
        <v>SB</v>
      </c>
      <c r="I39" s="30" t="s">
        <v>228</v>
      </c>
      <c r="J39" s="27">
        <v>2</v>
      </c>
      <c r="K39" s="27">
        <v>0</v>
      </c>
      <c r="L39" s="27">
        <v>0</v>
      </c>
      <c r="M39" s="27">
        <f t="shared" si="28"/>
        <v>28</v>
      </c>
      <c r="N39" s="27">
        <f t="shared" si="34"/>
        <v>0</v>
      </c>
      <c r="O39" s="31">
        <f t="shared" si="33"/>
        <v>0</v>
      </c>
      <c r="P39" s="27">
        <f t="shared" si="2"/>
        <v>28</v>
      </c>
      <c r="Q39" s="27">
        <v>28</v>
      </c>
      <c r="R39" s="27">
        <v>0</v>
      </c>
      <c r="S39" s="27">
        <v>0</v>
      </c>
      <c r="T39" s="27">
        <f t="shared" si="3"/>
        <v>28</v>
      </c>
      <c r="U39" s="27" t="str">
        <f t="shared" si="4"/>
        <v>OK</v>
      </c>
      <c r="V39" s="27">
        <f t="shared" si="5"/>
        <v>28</v>
      </c>
      <c r="W39" s="27">
        <f t="shared" si="6"/>
        <v>0</v>
      </c>
      <c r="X39" s="27">
        <f t="shared" si="7"/>
        <v>0</v>
      </c>
      <c r="Y39" s="27">
        <f t="shared" si="8"/>
        <v>28</v>
      </c>
      <c r="Z39" s="32">
        <v>2</v>
      </c>
      <c r="AA39" s="32">
        <v>2</v>
      </c>
      <c r="AB39" s="32">
        <v>2</v>
      </c>
      <c r="AC39" s="32">
        <v>2</v>
      </c>
      <c r="AD39" s="32">
        <v>2</v>
      </c>
      <c r="AE39" s="32">
        <v>2</v>
      </c>
      <c r="AF39" s="32">
        <v>2</v>
      </c>
      <c r="AG39" s="32">
        <v>2</v>
      </c>
      <c r="AH39" s="32">
        <v>2</v>
      </c>
      <c r="AI39" s="32">
        <v>2</v>
      </c>
      <c r="AJ39" s="32">
        <v>2</v>
      </c>
      <c r="AK39" s="32">
        <v>2</v>
      </c>
      <c r="AL39" s="32">
        <v>2</v>
      </c>
      <c r="AM39" s="32">
        <v>2</v>
      </c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3"/>
      <c r="BK39" s="33" t="s">
        <v>229</v>
      </c>
      <c r="BL39" s="34"/>
      <c r="BM39" s="34" t="s">
        <v>230</v>
      </c>
      <c r="BN39" s="34"/>
      <c r="BO39" s="27"/>
      <c r="BP39" s="27"/>
    </row>
    <row r="40" spans="1:68" x14ac:dyDescent="0.3">
      <c r="A40" s="25">
        <v>38</v>
      </c>
      <c r="B40" s="26" t="s">
        <v>231</v>
      </c>
      <c r="C40" s="27" t="s">
        <v>232</v>
      </c>
      <c r="D40" s="28" t="s">
        <v>226</v>
      </c>
      <c r="E40" s="26" t="str">
        <f>IFERROR(VLOOKUP($D40,[1]DUK!$B$2:$D$57,3,FALSE),"")</f>
        <v>197309182022211003</v>
      </c>
      <c r="F40" s="27" t="s">
        <v>67</v>
      </c>
      <c r="G40" s="28" t="s">
        <v>179</v>
      </c>
      <c r="H40" s="29" t="str">
        <f>VLOOKUP(G40,'[1]03. DAFTAR MAPEL'!$C$3:$E$68,2,FALSE)</f>
        <v>MULOK XI</v>
      </c>
      <c r="I40" s="30" t="s">
        <v>228</v>
      </c>
      <c r="J40" s="27">
        <v>0</v>
      </c>
      <c r="K40" s="27">
        <v>2</v>
      </c>
      <c r="L40" s="27">
        <v>0</v>
      </c>
      <c r="M40" s="27">
        <f t="shared" si="34"/>
        <v>0</v>
      </c>
      <c r="N40" s="27">
        <f t="shared" si="34"/>
        <v>22</v>
      </c>
      <c r="O40" s="31">
        <f t="shared" si="33"/>
        <v>0</v>
      </c>
      <c r="P40" s="27">
        <f t="shared" si="2"/>
        <v>22</v>
      </c>
      <c r="Q40" s="27">
        <v>0</v>
      </c>
      <c r="R40" s="27">
        <v>4</v>
      </c>
      <c r="S40" s="27">
        <v>0</v>
      </c>
      <c r="T40" s="27">
        <f t="shared" si="3"/>
        <v>4</v>
      </c>
      <c r="U40" s="27" t="str">
        <f t="shared" si="4"/>
        <v>OK</v>
      </c>
      <c r="V40" s="27">
        <f t="shared" si="5"/>
        <v>0</v>
      </c>
      <c r="W40" s="27">
        <f t="shared" si="6"/>
        <v>4</v>
      </c>
      <c r="X40" s="27">
        <f t="shared" si="7"/>
        <v>0</v>
      </c>
      <c r="Y40" s="27">
        <f t="shared" si="8"/>
        <v>4</v>
      </c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>
        <v>2</v>
      </c>
      <c r="AV40" s="32"/>
      <c r="AW40" s="32">
        <v>2</v>
      </c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3"/>
      <c r="BK40" s="33" t="s">
        <v>229</v>
      </c>
      <c r="BL40" s="34"/>
      <c r="BM40" s="34" t="s">
        <v>230</v>
      </c>
      <c r="BN40" s="34"/>
      <c r="BO40" s="27"/>
      <c r="BP40" s="27"/>
    </row>
    <row r="41" spans="1:68" ht="12.95" customHeight="1" x14ac:dyDescent="0.3">
      <c r="A41" s="25">
        <v>39</v>
      </c>
      <c r="B41" s="26" t="s">
        <v>233</v>
      </c>
      <c r="C41" s="27" t="s">
        <v>234</v>
      </c>
      <c r="D41" s="28" t="s">
        <v>235</v>
      </c>
      <c r="E41" s="26" t="str">
        <f>IFERROR(VLOOKUP($D41,[1]DUK!$B$2:$D$57,3,FALSE),"")</f>
        <v>199503232023212023</v>
      </c>
      <c r="F41" s="27" t="s">
        <v>67</v>
      </c>
      <c r="G41" s="28" t="s">
        <v>128</v>
      </c>
      <c r="H41" s="29" t="str">
        <f>VLOOKUP(G41,'[1]03. DAFTAR MAPEL'!$C$3:$E$68,2,FALSE)</f>
        <v>PJOK</v>
      </c>
      <c r="I41" s="30" t="s">
        <v>236</v>
      </c>
      <c r="J41" s="27">
        <v>3</v>
      </c>
      <c r="K41" s="27">
        <v>2</v>
      </c>
      <c r="L41" s="27">
        <v>0</v>
      </c>
      <c r="M41" s="27">
        <f>J41*14</f>
        <v>42</v>
      </c>
      <c r="N41" s="27">
        <f t="shared" si="34"/>
        <v>22</v>
      </c>
      <c r="O41" s="31">
        <f t="shared" si="33"/>
        <v>0</v>
      </c>
      <c r="P41" s="27">
        <f t="shared" si="2"/>
        <v>64</v>
      </c>
      <c r="Q41" s="27">
        <v>21</v>
      </c>
      <c r="R41" s="27">
        <v>8</v>
      </c>
      <c r="S41" s="27">
        <v>0</v>
      </c>
      <c r="T41" s="27">
        <f t="shared" si="3"/>
        <v>29</v>
      </c>
      <c r="U41" s="27" t="str">
        <f t="shared" si="4"/>
        <v>OK</v>
      </c>
      <c r="V41" s="27">
        <f t="shared" si="5"/>
        <v>21</v>
      </c>
      <c r="W41" s="27">
        <f t="shared" si="6"/>
        <v>8</v>
      </c>
      <c r="X41" s="27">
        <f t="shared" si="7"/>
        <v>0</v>
      </c>
      <c r="Y41" s="27">
        <f t="shared" si="8"/>
        <v>29</v>
      </c>
      <c r="Z41" s="32"/>
      <c r="AA41" s="32"/>
      <c r="AB41" s="32">
        <v>3</v>
      </c>
      <c r="AC41" s="32"/>
      <c r="AD41" s="32"/>
      <c r="AE41" s="32">
        <v>3</v>
      </c>
      <c r="AF41" s="32"/>
      <c r="AG41" s="32">
        <v>3</v>
      </c>
      <c r="AH41" s="32"/>
      <c r="AI41" s="32">
        <v>3</v>
      </c>
      <c r="AJ41" s="32">
        <v>3</v>
      </c>
      <c r="AK41" s="32"/>
      <c r="AL41" s="32">
        <v>3</v>
      </c>
      <c r="AM41" s="32">
        <v>3</v>
      </c>
      <c r="AN41" s="32"/>
      <c r="AO41" s="32"/>
      <c r="AP41" s="32"/>
      <c r="AQ41" s="32">
        <v>2</v>
      </c>
      <c r="AR41" s="32"/>
      <c r="AS41" s="32">
        <v>2</v>
      </c>
      <c r="AT41" s="32">
        <v>2</v>
      </c>
      <c r="AU41" s="32"/>
      <c r="AV41" s="32"/>
      <c r="AW41" s="32"/>
      <c r="AX41" s="32">
        <v>2</v>
      </c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3"/>
      <c r="BK41" s="33" t="s">
        <v>237</v>
      </c>
      <c r="BL41" s="34"/>
      <c r="BM41" s="34" t="s">
        <v>238</v>
      </c>
      <c r="BN41" s="34"/>
      <c r="BO41" s="27"/>
      <c r="BP41" s="27"/>
    </row>
    <row r="42" spans="1:68" ht="12.95" customHeight="1" x14ac:dyDescent="0.3">
      <c r="A42" s="25">
        <v>40</v>
      </c>
      <c r="B42" s="26" t="s">
        <v>239</v>
      </c>
      <c r="C42" s="27" t="s">
        <v>240</v>
      </c>
      <c r="D42" s="28" t="s">
        <v>235</v>
      </c>
      <c r="E42" s="26" t="str">
        <f>IFERROR(VLOOKUP($D42,[1]DUK!$B$2:$D$57,3,FALSE),"")</f>
        <v>199503232023212023</v>
      </c>
      <c r="F42" s="27" t="s">
        <v>67</v>
      </c>
      <c r="G42" s="28" t="s">
        <v>131</v>
      </c>
      <c r="H42" s="29" t="str">
        <f>VLOOKUP(G42,'[1]03. DAFTAR MAPEL'!$C$3:$E$68,2,FALSE)</f>
        <v>MULOK XII</v>
      </c>
      <c r="I42" s="30" t="s">
        <v>236</v>
      </c>
      <c r="J42" s="27">
        <v>0</v>
      </c>
      <c r="K42" s="27">
        <v>0</v>
      </c>
      <c r="L42" s="27">
        <v>2</v>
      </c>
      <c r="M42" s="27">
        <f t="shared" si="34"/>
        <v>0</v>
      </c>
      <c r="N42" s="27">
        <f t="shared" si="34"/>
        <v>0</v>
      </c>
      <c r="O42" s="31">
        <f t="shared" si="33"/>
        <v>22</v>
      </c>
      <c r="P42" s="27">
        <f t="shared" si="2"/>
        <v>22</v>
      </c>
      <c r="Q42" s="27">
        <v>0</v>
      </c>
      <c r="R42" s="27">
        <v>0</v>
      </c>
      <c r="S42" s="27">
        <v>8</v>
      </c>
      <c r="T42" s="27">
        <f t="shared" si="3"/>
        <v>8</v>
      </c>
      <c r="U42" s="27" t="str">
        <f t="shared" si="4"/>
        <v>OK</v>
      </c>
      <c r="V42" s="27">
        <f t="shared" si="5"/>
        <v>0</v>
      </c>
      <c r="W42" s="27">
        <f t="shared" si="6"/>
        <v>0</v>
      </c>
      <c r="X42" s="27">
        <f t="shared" si="7"/>
        <v>8</v>
      </c>
      <c r="Y42" s="27">
        <f t="shared" si="8"/>
        <v>8</v>
      </c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>
        <v>2</v>
      </c>
      <c r="BC42" s="32"/>
      <c r="BD42" s="32"/>
      <c r="BE42" s="32">
        <v>2</v>
      </c>
      <c r="BF42" s="32"/>
      <c r="BG42" s="32"/>
      <c r="BH42" s="32">
        <v>2</v>
      </c>
      <c r="BI42" s="32">
        <v>2</v>
      </c>
      <c r="BJ42" s="33"/>
      <c r="BK42" s="33" t="s">
        <v>237</v>
      </c>
      <c r="BL42" s="34"/>
      <c r="BM42" s="34" t="s">
        <v>238</v>
      </c>
      <c r="BN42" s="34"/>
      <c r="BO42" s="27"/>
      <c r="BP42" s="27"/>
    </row>
    <row r="43" spans="1:68" x14ac:dyDescent="0.3">
      <c r="A43" s="25">
        <v>41</v>
      </c>
      <c r="B43" s="26" t="s">
        <v>241</v>
      </c>
      <c r="C43" s="27" t="s">
        <v>242</v>
      </c>
      <c r="D43" s="28" t="s">
        <v>243</v>
      </c>
      <c r="E43" s="26" t="str">
        <f>IFERROR(VLOOKUP($D43,[1]DUK!$B$2:$D$57,3,FALSE),"")</f>
        <v>199103132024211017</v>
      </c>
      <c r="F43" s="27" t="s">
        <v>67</v>
      </c>
      <c r="G43" s="28" t="s">
        <v>128</v>
      </c>
      <c r="H43" s="29" t="str">
        <f>VLOOKUP(G43,'[1]03. DAFTAR MAPEL'!$C$3:$E$68,2,FALSE)</f>
        <v>PJOK</v>
      </c>
      <c r="I43" s="30" t="s">
        <v>244</v>
      </c>
      <c r="J43" s="27">
        <v>3</v>
      </c>
      <c r="K43" s="27">
        <v>2</v>
      </c>
      <c r="L43" s="27">
        <v>0</v>
      </c>
      <c r="M43" s="27">
        <f>J43*14</f>
        <v>42</v>
      </c>
      <c r="N43" s="27">
        <f t="shared" si="34"/>
        <v>22</v>
      </c>
      <c r="O43" s="31">
        <f t="shared" si="33"/>
        <v>0</v>
      </c>
      <c r="P43" s="27">
        <f t="shared" si="2"/>
        <v>64</v>
      </c>
      <c r="Q43" s="27">
        <v>21</v>
      </c>
      <c r="R43" s="27">
        <v>8</v>
      </c>
      <c r="S43" s="27">
        <v>0</v>
      </c>
      <c r="T43" s="27">
        <f t="shared" si="3"/>
        <v>29</v>
      </c>
      <c r="U43" s="27" t="str">
        <f t="shared" si="4"/>
        <v>OK</v>
      </c>
      <c r="V43" s="27">
        <f t="shared" si="5"/>
        <v>21</v>
      </c>
      <c r="W43" s="27">
        <f t="shared" si="6"/>
        <v>8</v>
      </c>
      <c r="X43" s="27">
        <f t="shared" si="7"/>
        <v>0</v>
      </c>
      <c r="Y43" s="27">
        <f t="shared" si="8"/>
        <v>29</v>
      </c>
      <c r="Z43" s="32">
        <v>3</v>
      </c>
      <c r="AA43" s="32">
        <v>3</v>
      </c>
      <c r="AB43" s="32"/>
      <c r="AC43" s="32">
        <v>3</v>
      </c>
      <c r="AD43" s="32"/>
      <c r="AE43" s="32">
        <v>3</v>
      </c>
      <c r="AF43" s="32">
        <v>3</v>
      </c>
      <c r="AG43" s="32"/>
      <c r="AH43" s="32">
        <v>3</v>
      </c>
      <c r="AI43" s="32"/>
      <c r="AJ43" s="32"/>
      <c r="AK43" s="32">
        <v>3</v>
      </c>
      <c r="AL43" s="32"/>
      <c r="AM43" s="32"/>
      <c r="AN43" s="32"/>
      <c r="AO43" s="32"/>
      <c r="AP43" s="32">
        <v>2</v>
      </c>
      <c r="AQ43" s="32"/>
      <c r="AR43" s="32"/>
      <c r="AS43" s="32"/>
      <c r="AT43" s="32"/>
      <c r="AU43" s="32">
        <v>2</v>
      </c>
      <c r="AV43" s="32">
        <v>2</v>
      </c>
      <c r="AW43" s="32">
        <v>2</v>
      </c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3"/>
      <c r="BK43" s="33" t="s">
        <v>245</v>
      </c>
      <c r="BL43" s="34" t="s">
        <v>125</v>
      </c>
      <c r="BM43" s="34" t="s">
        <v>246</v>
      </c>
      <c r="BN43" s="34"/>
      <c r="BO43" s="27"/>
      <c r="BP43" s="27"/>
    </row>
    <row r="44" spans="1:68" x14ac:dyDescent="0.3">
      <c r="A44" s="25">
        <v>42</v>
      </c>
      <c r="B44" s="26" t="s">
        <v>247</v>
      </c>
      <c r="C44" s="27" t="s">
        <v>248</v>
      </c>
      <c r="D44" s="28" t="s">
        <v>243</v>
      </c>
      <c r="E44" s="26" t="str">
        <f>IFERROR(VLOOKUP($D44,[1]DUK!$B$2:$D$57,3,FALSE),"")</f>
        <v>199103132024211017</v>
      </c>
      <c r="F44" s="27" t="s">
        <v>67</v>
      </c>
      <c r="G44" s="28" t="s">
        <v>131</v>
      </c>
      <c r="H44" s="29" t="str">
        <f>VLOOKUP(G44,'[1]03. DAFTAR MAPEL'!$C$3:$E$68,2,FALSE)</f>
        <v>MULOK XII</v>
      </c>
      <c r="I44" s="30" t="s">
        <v>244</v>
      </c>
      <c r="J44" s="27">
        <v>0</v>
      </c>
      <c r="K44" s="27">
        <v>0</v>
      </c>
      <c r="L44" s="27">
        <v>2</v>
      </c>
      <c r="M44" s="27">
        <f t="shared" si="34"/>
        <v>0</v>
      </c>
      <c r="N44" s="27">
        <f t="shared" si="34"/>
        <v>0</v>
      </c>
      <c r="O44" s="31">
        <f t="shared" si="33"/>
        <v>22</v>
      </c>
      <c r="P44" s="27">
        <f t="shared" si="2"/>
        <v>22</v>
      </c>
      <c r="Q44" s="27">
        <v>0</v>
      </c>
      <c r="R44" s="27">
        <v>0</v>
      </c>
      <c r="S44" s="27">
        <v>8</v>
      </c>
      <c r="T44" s="27">
        <f t="shared" si="3"/>
        <v>8</v>
      </c>
      <c r="U44" s="27" t="str">
        <f t="shared" si="4"/>
        <v>OK</v>
      </c>
      <c r="V44" s="27">
        <f t="shared" si="5"/>
        <v>0</v>
      </c>
      <c r="W44" s="27">
        <f t="shared" si="6"/>
        <v>0</v>
      </c>
      <c r="X44" s="27">
        <f t="shared" si="7"/>
        <v>8</v>
      </c>
      <c r="Y44" s="27">
        <f t="shared" si="8"/>
        <v>8</v>
      </c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>
        <v>2</v>
      </c>
      <c r="AZ44" s="32"/>
      <c r="BA44" s="32">
        <v>2</v>
      </c>
      <c r="BB44" s="32"/>
      <c r="BC44" s="32">
        <v>2</v>
      </c>
      <c r="BD44" s="32">
        <v>2</v>
      </c>
      <c r="BE44" s="32"/>
      <c r="BF44" s="32"/>
      <c r="BG44" s="32"/>
      <c r="BH44" s="32"/>
      <c r="BI44" s="32"/>
      <c r="BJ44" s="33"/>
      <c r="BK44" s="33" t="s">
        <v>245</v>
      </c>
      <c r="BL44" s="34" t="s">
        <v>125</v>
      </c>
      <c r="BM44" s="34" t="s">
        <v>246</v>
      </c>
      <c r="BN44" s="34"/>
      <c r="BO44" s="27"/>
      <c r="BP44" s="27"/>
    </row>
    <row r="45" spans="1:68" ht="12.95" customHeight="1" x14ac:dyDescent="0.3">
      <c r="A45" s="25">
        <v>43</v>
      </c>
      <c r="B45" s="26" t="s">
        <v>249</v>
      </c>
      <c r="C45" s="27" t="s">
        <v>250</v>
      </c>
      <c r="D45" s="28" t="s">
        <v>251</v>
      </c>
      <c r="E45" s="26" t="str">
        <f>IFERROR(VLOOKUP($D45,[1]DUK!$B$2:$D$57,3,FALSE),"")</f>
        <v>199202072023211019</v>
      </c>
      <c r="F45" s="27" t="s">
        <v>67</v>
      </c>
      <c r="G45" s="28" t="s">
        <v>252</v>
      </c>
      <c r="H45" s="29" t="str">
        <f>VLOOKUP(G45,'[1]03. DAFTAR MAPEL'!$C$3:$E$68,2,FALSE)</f>
        <v>INFO</v>
      </c>
      <c r="I45" s="30" t="s">
        <v>253</v>
      </c>
      <c r="J45" s="27">
        <v>4</v>
      </c>
      <c r="K45" s="27">
        <v>0</v>
      </c>
      <c r="L45" s="27">
        <v>0</v>
      </c>
      <c r="M45" s="27">
        <f>J45*14</f>
        <v>56</v>
      </c>
      <c r="N45" s="27">
        <f t="shared" si="34"/>
        <v>0</v>
      </c>
      <c r="O45" s="31">
        <f t="shared" si="33"/>
        <v>0</v>
      </c>
      <c r="P45" s="27">
        <f t="shared" si="2"/>
        <v>56</v>
      </c>
      <c r="Q45" s="27">
        <v>36</v>
      </c>
      <c r="R45" s="27">
        <v>0</v>
      </c>
      <c r="S45" s="27">
        <v>0</v>
      </c>
      <c r="T45" s="27">
        <f t="shared" si="3"/>
        <v>36</v>
      </c>
      <c r="U45" s="27" t="str">
        <f t="shared" si="4"/>
        <v>OK</v>
      </c>
      <c r="V45" s="27">
        <f t="shared" si="5"/>
        <v>36</v>
      </c>
      <c r="W45" s="27">
        <f t="shared" si="6"/>
        <v>0</v>
      </c>
      <c r="X45" s="27">
        <f t="shared" si="7"/>
        <v>0</v>
      </c>
      <c r="Y45" s="27">
        <f t="shared" si="8"/>
        <v>36</v>
      </c>
      <c r="Z45" s="32">
        <v>4</v>
      </c>
      <c r="AA45" s="32">
        <v>4</v>
      </c>
      <c r="AB45" s="32">
        <v>4</v>
      </c>
      <c r="AC45" s="32"/>
      <c r="AD45" s="32">
        <v>4</v>
      </c>
      <c r="AE45" s="32"/>
      <c r="AF45" s="32"/>
      <c r="AG45" s="32">
        <v>4</v>
      </c>
      <c r="AH45" s="32">
        <v>4</v>
      </c>
      <c r="AI45" s="32">
        <v>4</v>
      </c>
      <c r="AJ45" s="32">
        <v>4</v>
      </c>
      <c r="AK45" s="32">
        <v>4</v>
      </c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3"/>
      <c r="BK45" s="33" t="s">
        <v>254</v>
      </c>
      <c r="BL45" s="34" t="s">
        <v>255</v>
      </c>
      <c r="BM45" s="34"/>
      <c r="BN45" s="34"/>
      <c r="BO45" s="27"/>
      <c r="BP45" s="27"/>
    </row>
    <row r="46" spans="1:68" ht="12.95" customHeight="1" x14ac:dyDescent="0.3">
      <c r="A46" s="25">
        <v>44</v>
      </c>
      <c r="B46" s="26" t="s">
        <v>256</v>
      </c>
      <c r="C46" s="27" t="s">
        <v>257</v>
      </c>
      <c r="D46" s="28" t="s">
        <v>258</v>
      </c>
      <c r="E46" s="26" t="str">
        <f>IFERROR(VLOOKUP($D46,[1]DUK!$B$2:$D$57,3,FALSE),"")</f>
        <v>198902032022212010</v>
      </c>
      <c r="F46" s="27" t="s">
        <v>67</v>
      </c>
      <c r="G46" s="28" t="s">
        <v>259</v>
      </c>
      <c r="H46" s="29" t="str">
        <f>VLOOKUP(G46,'[1]03. DAFTAR MAPEL'!$C$3:$E$68,2,FALSE)</f>
        <v>PIPAS</v>
      </c>
      <c r="I46" s="30" t="s">
        <v>260</v>
      </c>
      <c r="J46" s="27">
        <v>6</v>
      </c>
      <c r="K46" s="27">
        <v>0</v>
      </c>
      <c r="L46" s="27">
        <v>0</v>
      </c>
      <c r="M46" s="27">
        <f>J46*14</f>
        <v>84</v>
      </c>
      <c r="N46" s="27">
        <f t="shared" si="34"/>
        <v>0</v>
      </c>
      <c r="O46" s="31">
        <f t="shared" si="33"/>
        <v>0</v>
      </c>
      <c r="P46" s="27">
        <f t="shared" si="2"/>
        <v>84</v>
      </c>
      <c r="Q46" s="27">
        <v>36</v>
      </c>
      <c r="R46" s="27">
        <v>0</v>
      </c>
      <c r="S46" s="27">
        <v>0</v>
      </c>
      <c r="T46" s="27">
        <f t="shared" si="3"/>
        <v>36</v>
      </c>
      <c r="U46" s="27" t="str">
        <f t="shared" si="4"/>
        <v>OK</v>
      </c>
      <c r="V46" s="27">
        <f t="shared" si="5"/>
        <v>36</v>
      </c>
      <c r="W46" s="27">
        <f t="shared" si="6"/>
        <v>0</v>
      </c>
      <c r="X46" s="27">
        <f t="shared" si="7"/>
        <v>0</v>
      </c>
      <c r="Y46" s="27">
        <f t="shared" si="8"/>
        <v>36</v>
      </c>
      <c r="Z46" s="32">
        <v>6</v>
      </c>
      <c r="AA46" s="32">
        <v>6</v>
      </c>
      <c r="AB46" s="32"/>
      <c r="AC46" s="32"/>
      <c r="AD46" s="32"/>
      <c r="AE46" s="32"/>
      <c r="AF46" s="32"/>
      <c r="AG46" s="32">
        <v>6</v>
      </c>
      <c r="AH46" s="32"/>
      <c r="AI46" s="32">
        <v>6</v>
      </c>
      <c r="AJ46" s="32">
        <v>6</v>
      </c>
      <c r="AK46" s="32"/>
      <c r="AL46" s="32"/>
      <c r="AM46" s="32">
        <v>6</v>
      </c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3"/>
      <c r="BK46" s="33" t="s">
        <v>261</v>
      </c>
      <c r="BL46" s="33" t="s">
        <v>174</v>
      </c>
      <c r="BM46" s="33"/>
      <c r="BN46" s="33"/>
      <c r="BO46" s="27"/>
      <c r="BP46" s="27"/>
    </row>
    <row r="47" spans="1:68" x14ac:dyDescent="0.3">
      <c r="A47" s="25">
        <v>45</v>
      </c>
      <c r="B47" s="26" t="s">
        <v>262</v>
      </c>
      <c r="C47" s="27" t="s">
        <v>263</v>
      </c>
      <c r="D47" s="28" t="s">
        <v>264</v>
      </c>
      <c r="E47" s="26" t="str">
        <f>IFERROR(VLOOKUP($D47,[1]DUK!$B$2:$D$57,3,FALSE),"")</f>
        <v>198212212022211006</v>
      </c>
      <c r="F47" s="27" t="s">
        <v>67</v>
      </c>
      <c r="G47" s="28" t="s">
        <v>259</v>
      </c>
      <c r="H47" s="29" t="str">
        <f>VLOOKUP(G47,'[1]03. DAFTAR MAPEL'!$C$3:$E$68,2,FALSE)</f>
        <v>PIPAS</v>
      </c>
      <c r="I47" s="30" t="s">
        <v>265</v>
      </c>
      <c r="J47" s="27">
        <v>6</v>
      </c>
      <c r="K47" s="27">
        <v>0</v>
      </c>
      <c r="L47" s="27">
        <v>0</v>
      </c>
      <c r="M47" s="27">
        <f>J47*14</f>
        <v>84</v>
      </c>
      <c r="N47" s="27">
        <f t="shared" si="34"/>
        <v>0</v>
      </c>
      <c r="O47" s="31">
        <f t="shared" si="33"/>
        <v>0</v>
      </c>
      <c r="P47" s="27">
        <f t="shared" si="2"/>
        <v>84</v>
      </c>
      <c r="Q47" s="27">
        <v>30</v>
      </c>
      <c r="R47" s="27">
        <v>0</v>
      </c>
      <c r="S47" s="27">
        <v>0</v>
      </c>
      <c r="T47" s="27">
        <f t="shared" si="3"/>
        <v>30</v>
      </c>
      <c r="U47" s="27" t="str">
        <f t="shared" si="4"/>
        <v>OK</v>
      </c>
      <c r="V47" s="27">
        <f t="shared" si="5"/>
        <v>30</v>
      </c>
      <c r="W47" s="27">
        <f t="shared" si="6"/>
        <v>0</v>
      </c>
      <c r="X47" s="27">
        <f t="shared" si="7"/>
        <v>0</v>
      </c>
      <c r="Y47" s="27">
        <f t="shared" si="8"/>
        <v>30</v>
      </c>
      <c r="Z47" s="32"/>
      <c r="AA47" s="32"/>
      <c r="AB47" s="32"/>
      <c r="AC47" s="32">
        <v>6</v>
      </c>
      <c r="AD47" s="32">
        <v>6</v>
      </c>
      <c r="AE47" s="32"/>
      <c r="AF47" s="32">
        <v>6</v>
      </c>
      <c r="AG47" s="32"/>
      <c r="AH47" s="32">
        <v>6</v>
      </c>
      <c r="AI47" s="32"/>
      <c r="AJ47" s="32"/>
      <c r="AK47" s="32"/>
      <c r="AL47" s="32">
        <v>6</v>
      </c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3" t="s">
        <v>266</v>
      </c>
      <c r="BK47" s="33"/>
      <c r="BL47" s="34"/>
      <c r="BM47" s="34"/>
      <c r="BN47" s="34"/>
      <c r="BO47" s="27"/>
      <c r="BP47" s="27"/>
    </row>
    <row r="48" spans="1:68" x14ac:dyDescent="0.3">
      <c r="A48" s="25">
        <v>46</v>
      </c>
      <c r="B48" s="26" t="s">
        <v>267</v>
      </c>
      <c r="C48" s="27" t="s">
        <v>268</v>
      </c>
      <c r="D48" s="28" t="s">
        <v>269</v>
      </c>
      <c r="E48" s="26" t="str">
        <f>IFERROR(VLOOKUP($D48,[1]DUK!$B$2:$D$57,3,FALSE),"")</f>
        <v>198705272025212124</v>
      </c>
      <c r="F48" s="27" t="s">
        <v>100</v>
      </c>
      <c r="G48" s="28" t="s">
        <v>259</v>
      </c>
      <c r="H48" s="29" t="str">
        <f>VLOOKUP(G48,'[1]03. DAFTAR MAPEL'!$C$3:$E$68,2,FALSE)</f>
        <v>PIPAS</v>
      </c>
      <c r="I48" s="30" t="s">
        <v>270</v>
      </c>
      <c r="J48" s="27">
        <v>6</v>
      </c>
      <c r="K48" s="27">
        <v>0</v>
      </c>
      <c r="L48" s="27">
        <v>0</v>
      </c>
      <c r="M48" s="27">
        <f>J48*14</f>
        <v>84</v>
      </c>
      <c r="N48" s="27">
        <f t="shared" si="34"/>
        <v>0</v>
      </c>
      <c r="O48" s="31">
        <f t="shared" si="33"/>
        <v>0</v>
      </c>
      <c r="P48" s="27">
        <f t="shared" si="2"/>
        <v>84</v>
      </c>
      <c r="Q48" s="27">
        <v>18</v>
      </c>
      <c r="R48" s="27">
        <v>0</v>
      </c>
      <c r="S48" s="27">
        <v>0</v>
      </c>
      <c r="T48" s="27">
        <f t="shared" si="3"/>
        <v>18</v>
      </c>
      <c r="U48" s="27" t="str">
        <f t="shared" si="4"/>
        <v>OK</v>
      </c>
      <c r="V48" s="27">
        <f t="shared" si="5"/>
        <v>18</v>
      </c>
      <c r="W48" s="27">
        <f t="shared" si="6"/>
        <v>0</v>
      </c>
      <c r="X48" s="27">
        <f t="shared" si="7"/>
        <v>0</v>
      </c>
      <c r="Y48" s="27">
        <f t="shared" si="8"/>
        <v>18</v>
      </c>
      <c r="Z48" s="32"/>
      <c r="AA48" s="32"/>
      <c r="AB48" s="32">
        <v>6</v>
      </c>
      <c r="AC48" s="32"/>
      <c r="AD48" s="32"/>
      <c r="AE48" s="32">
        <v>6</v>
      </c>
      <c r="AF48" s="32"/>
      <c r="AG48" s="32"/>
      <c r="AH48" s="32"/>
      <c r="AI48" s="32"/>
      <c r="AJ48" s="32"/>
      <c r="AK48" s="32">
        <v>6</v>
      </c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3"/>
      <c r="BK48" s="34" t="s">
        <v>271</v>
      </c>
      <c r="BL48" s="34" t="s">
        <v>125</v>
      </c>
      <c r="BM48" s="34"/>
      <c r="BN48" s="34"/>
      <c r="BO48" s="27"/>
      <c r="BP48" s="27"/>
    </row>
    <row r="49" spans="1:68" x14ac:dyDescent="0.3">
      <c r="A49" s="25">
        <v>47</v>
      </c>
      <c r="B49" s="26" t="s">
        <v>272</v>
      </c>
      <c r="C49" s="27" t="s">
        <v>273</v>
      </c>
      <c r="D49" s="28" t="s">
        <v>269</v>
      </c>
      <c r="E49" s="26" t="str">
        <f>IFERROR(VLOOKUP($D49,[1]DUK!$B$2:$D$57,3,FALSE),"")</f>
        <v>198705272025212124</v>
      </c>
      <c r="F49" s="27" t="s">
        <v>100</v>
      </c>
      <c r="G49" s="28" t="s">
        <v>179</v>
      </c>
      <c r="H49" s="29" t="str">
        <f>VLOOKUP(G49,'[1]03. DAFTAR MAPEL'!$C$3:$E$68,2,FALSE)</f>
        <v>MULOK XI</v>
      </c>
      <c r="I49" s="30" t="s">
        <v>270</v>
      </c>
      <c r="J49" s="27">
        <v>0</v>
      </c>
      <c r="K49" s="27">
        <v>2</v>
      </c>
      <c r="L49" s="27">
        <v>0</v>
      </c>
      <c r="M49" s="27">
        <f t="shared" ref="M49:N53" si="38">J49*11</f>
        <v>0</v>
      </c>
      <c r="N49" s="27">
        <f t="shared" si="38"/>
        <v>22</v>
      </c>
      <c r="O49" s="31">
        <f t="shared" si="33"/>
        <v>0</v>
      </c>
      <c r="P49" s="27">
        <f t="shared" si="2"/>
        <v>22</v>
      </c>
      <c r="Q49" s="27">
        <v>0</v>
      </c>
      <c r="R49" s="27">
        <v>2</v>
      </c>
      <c r="S49" s="27">
        <v>0</v>
      </c>
      <c r="T49" s="27">
        <f t="shared" si="3"/>
        <v>2</v>
      </c>
      <c r="U49" s="27" t="str">
        <f t="shared" si="4"/>
        <v>OK</v>
      </c>
      <c r="V49" s="27">
        <f t="shared" si="5"/>
        <v>0</v>
      </c>
      <c r="W49" s="27">
        <f t="shared" si="6"/>
        <v>2</v>
      </c>
      <c r="X49" s="27">
        <f t="shared" si="7"/>
        <v>0</v>
      </c>
      <c r="Y49" s="27">
        <f t="shared" si="8"/>
        <v>2</v>
      </c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>
        <v>2</v>
      </c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3"/>
      <c r="BK49" s="34" t="s">
        <v>271</v>
      </c>
      <c r="BL49" s="34" t="s">
        <v>125</v>
      </c>
      <c r="BM49" s="34"/>
      <c r="BN49" s="34"/>
      <c r="BO49" s="27"/>
      <c r="BP49" s="27"/>
    </row>
    <row r="50" spans="1:68" x14ac:dyDescent="0.3">
      <c r="A50" s="25">
        <v>48</v>
      </c>
      <c r="B50" s="26" t="s">
        <v>274</v>
      </c>
      <c r="C50" s="27" t="s">
        <v>275</v>
      </c>
      <c r="D50" s="28" t="s">
        <v>269</v>
      </c>
      <c r="E50" s="26" t="str">
        <f>IFERROR(VLOOKUP($D50,[1]DUK!$B$2:$D$57,3,FALSE),"")</f>
        <v>198705272025212124</v>
      </c>
      <c r="F50" s="27" t="s">
        <v>100</v>
      </c>
      <c r="G50" s="28" t="s">
        <v>276</v>
      </c>
      <c r="H50" s="29" t="str">
        <f>VLOOKUP(G50,'[1]03. DAFTAR MAPEL'!$C$3:$E$68,2,FALSE)</f>
        <v>KIK MP</v>
      </c>
      <c r="I50" s="30" t="s">
        <v>270</v>
      </c>
      <c r="J50" s="27">
        <v>0</v>
      </c>
      <c r="K50" s="27">
        <v>5</v>
      </c>
      <c r="L50" s="27">
        <v>5</v>
      </c>
      <c r="M50" s="27">
        <f t="shared" ref="M50:O50" si="39">J50*2</f>
        <v>0</v>
      </c>
      <c r="N50" s="27">
        <f t="shared" si="39"/>
        <v>10</v>
      </c>
      <c r="O50" s="27">
        <f t="shared" si="39"/>
        <v>10</v>
      </c>
      <c r="P50" s="27">
        <f t="shared" si="2"/>
        <v>20</v>
      </c>
      <c r="Q50" s="27">
        <v>0</v>
      </c>
      <c r="R50" s="27">
        <v>10</v>
      </c>
      <c r="S50" s="27">
        <v>0</v>
      </c>
      <c r="T50" s="27">
        <f t="shared" si="3"/>
        <v>10</v>
      </c>
      <c r="U50" s="27" t="str">
        <f t="shared" si="4"/>
        <v>OK</v>
      </c>
      <c r="V50" s="27">
        <f t="shared" si="5"/>
        <v>0</v>
      </c>
      <c r="W50" s="27">
        <f t="shared" si="6"/>
        <v>10</v>
      </c>
      <c r="X50" s="27">
        <f t="shared" si="7"/>
        <v>0</v>
      </c>
      <c r="Y50" s="27">
        <f t="shared" si="8"/>
        <v>10</v>
      </c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>
        <v>5</v>
      </c>
      <c r="AX50" s="32">
        <v>5</v>
      </c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3"/>
      <c r="BK50" s="34" t="s">
        <v>271</v>
      </c>
      <c r="BL50" s="34" t="s">
        <v>125</v>
      </c>
      <c r="BM50" s="34"/>
      <c r="BN50" s="34"/>
      <c r="BO50" s="27"/>
      <c r="BP50" s="27"/>
    </row>
    <row r="51" spans="1:68" ht="12.95" customHeight="1" x14ac:dyDescent="0.3">
      <c r="A51" s="25">
        <v>49</v>
      </c>
      <c r="B51" s="26" t="s">
        <v>277</v>
      </c>
      <c r="C51" s="27" t="s">
        <v>278</v>
      </c>
      <c r="D51" s="28" t="s">
        <v>279</v>
      </c>
      <c r="E51" s="26" t="str">
        <f>IFERROR(VLOOKUP($D51,[1]DUK!$B$2:$D$57,3,FALSE),"")</f>
        <v>199112182025212054</v>
      </c>
      <c r="F51" s="27" t="s">
        <v>100</v>
      </c>
      <c r="G51" s="28" t="s">
        <v>280</v>
      </c>
      <c r="H51" s="29" t="str">
        <f>VLOOKUP(G51,'[1]03. DAFTAR MAPEL'!$C$3:$E$68,2,FALSE)</f>
        <v>MULOK X</v>
      </c>
      <c r="I51" s="28" t="s">
        <v>281</v>
      </c>
      <c r="J51" s="27">
        <v>2</v>
      </c>
      <c r="K51" s="27">
        <v>0</v>
      </c>
      <c r="L51" s="27">
        <v>0</v>
      </c>
      <c r="M51" s="27">
        <f>J51*14</f>
        <v>28</v>
      </c>
      <c r="N51" s="27">
        <f t="shared" si="38"/>
        <v>0</v>
      </c>
      <c r="O51" s="31">
        <f t="shared" si="33"/>
        <v>0</v>
      </c>
      <c r="P51" s="27">
        <f t="shared" si="2"/>
        <v>28</v>
      </c>
      <c r="Q51" s="27">
        <v>28</v>
      </c>
      <c r="R51" s="27">
        <v>0</v>
      </c>
      <c r="S51" s="27">
        <v>0</v>
      </c>
      <c r="T51" s="27">
        <f t="shared" si="3"/>
        <v>28</v>
      </c>
      <c r="U51" s="27" t="str">
        <f t="shared" si="4"/>
        <v>OK</v>
      </c>
      <c r="V51" s="27">
        <f t="shared" si="5"/>
        <v>28</v>
      </c>
      <c r="W51" s="27">
        <f t="shared" si="6"/>
        <v>0</v>
      </c>
      <c r="X51" s="27">
        <f t="shared" si="7"/>
        <v>0</v>
      </c>
      <c r="Y51" s="27">
        <f t="shared" si="8"/>
        <v>28</v>
      </c>
      <c r="Z51" s="32">
        <v>2</v>
      </c>
      <c r="AA51" s="32">
        <v>2</v>
      </c>
      <c r="AB51" s="32">
        <v>2</v>
      </c>
      <c r="AC51" s="32">
        <v>2</v>
      </c>
      <c r="AD51" s="32">
        <v>2</v>
      </c>
      <c r="AE51" s="32">
        <v>2</v>
      </c>
      <c r="AF51" s="32">
        <v>2</v>
      </c>
      <c r="AG51" s="32">
        <v>2</v>
      </c>
      <c r="AH51" s="32">
        <v>2</v>
      </c>
      <c r="AI51" s="32">
        <v>2</v>
      </c>
      <c r="AJ51" s="32">
        <v>2</v>
      </c>
      <c r="AK51" s="32">
        <v>2</v>
      </c>
      <c r="AL51" s="32">
        <v>2</v>
      </c>
      <c r="AM51" s="32">
        <v>2</v>
      </c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3"/>
      <c r="BK51" s="33" t="s">
        <v>282</v>
      </c>
      <c r="BL51" s="34"/>
      <c r="BM51" s="34"/>
      <c r="BN51" s="34"/>
      <c r="BO51" s="27"/>
      <c r="BP51" s="27"/>
    </row>
    <row r="52" spans="1:68" ht="12.95" customHeight="1" x14ac:dyDescent="0.3">
      <c r="A52" s="25">
        <v>50</v>
      </c>
      <c r="B52" s="26" t="s">
        <v>283</v>
      </c>
      <c r="C52" s="27" t="s">
        <v>284</v>
      </c>
      <c r="D52" s="28" t="s">
        <v>279</v>
      </c>
      <c r="E52" s="26" t="str">
        <f>IFERROR(VLOOKUP($D52,[1]DUK!$B$2:$D$57,3,FALSE),"")</f>
        <v>199112182025212054</v>
      </c>
      <c r="F52" s="27" t="s">
        <v>100</v>
      </c>
      <c r="G52" s="28" t="s">
        <v>179</v>
      </c>
      <c r="H52" s="29" t="str">
        <f>VLOOKUP(G52,'[1]03. DAFTAR MAPEL'!$C$3:$E$68,2,FALSE)</f>
        <v>MULOK XI</v>
      </c>
      <c r="I52" s="28" t="s">
        <v>281</v>
      </c>
      <c r="J52" s="27">
        <v>0</v>
      </c>
      <c r="K52" s="27">
        <v>2</v>
      </c>
      <c r="L52" s="27">
        <v>0</v>
      </c>
      <c r="M52" s="27">
        <f t="shared" si="38"/>
        <v>0</v>
      </c>
      <c r="N52" s="27">
        <v>12</v>
      </c>
      <c r="O52" s="31">
        <f t="shared" si="33"/>
        <v>0</v>
      </c>
      <c r="P52" s="27">
        <f t="shared" si="2"/>
        <v>12</v>
      </c>
      <c r="Q52" s="27">
        <v>0</v>
      </c>
      <c r="R52" s="27">
        <v>0</v>
      </c>
      <c r="S52" s="27">
        <v>0</v>
      </c>
      <c r="T52" s="27">
        <f t="shared" si="3"/>
        <v>0</v>
      </c>
      <c r="U52" s="27" t="str">
        <f t="shared" si="4"/>
        <v>OK</v>
      </c>
      <c r="V52" s="27">
        <f t="shared" si="5"/>
        <v>0</v>
      </c>
      <c r="W52" s="27">
        <f t="shared" si="6"/>
        <v>0</v>
      </c>
      <c r="X52" s="27">
        <f t="shared" si="7"/>
        <v>0</v>
      </c>
      <c r="Y52" s="27">
        <f t="shared" si="8"/>
        <v>0</v>
      </c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3"/>
      <c r="BK52" s="33" t="s">
        <v>282</v>
      </c>
      <c r="BL52" s="34"/>
      <c r="BM52" s="34"/>
      <c r="BN52" s="34"/>
      <c r="BO52" s="27"/>
      <c r="BP52" s="27"/>
    </row>
    <row r="53" spans="1:68" ht="12.95" customHeight="1" x14ac:dyDescent="0.3">
      <c r="A53" s="25">
        <v>51</v>
      </c>
      <c r="B53" s="26" t="s">
        <v>285</v>
      </c>
      <c r="C53" s="27" t="s">
        <v>286</v>
      </c>
      <c r="D53" s="28" t="s">
        <v>287</v>
      </c>
      <c r="E53" s="26" t="str">
        <f>IFERROR(VLOOKUP($D53,[1]DUK!$B$2:$D$57,3,FALSE),"")</f>
        <v>199706012025212110</v>
      </c>
      <c r="F53" s="27" t="s">
        <v>288</v>
      </c>
      <c r="G53" s="38" t="s">
        <v>119</v>
      </c>
      <c r="H53" s="29" t="str">
        <f>VLOOKUP(G53,'[1]03. DAFTAR MAPEL'!$C$3:$E$68,2,FALSE)</f>
        <v>BP/BK</v>
      </c>
      <c r="I53" s="30" t="s">
        <v>289</v>
      </c>
      <c r="J53" s="27">
        <v>1</v>
      </c>
      <c r="K53" s="27">
        <v>1</v>
      </c>
      <c r="L53" s="27">
        <v>1</v>
      </c>
      <c r="M53" s="27">
        <f>J53*14</f>
        <v>14</v>
      </c>
      <c r="N53" s="27">
        <f t="shared" si="38"/>
        <v>11</v>
      </c>
      <c r="O53" s="31">
        <f t="shared" si="33"/>
        <v>11</v>
      </c>
      <c r="P53" s="27">
        <f t="shared" si="2"/>
        <v>36</v>
      </c>
      <c r="Q53" s="27">
        <v>3</v>
      </c>
      <c r="R53" s="27">
        <v>4</v>
      </c>
      <c r="S53" s="27">
        <v>8</v>
      </c>
      <c r="T53" s="27">
        <f t="shared" si="3"/>
        <v>15</v>
      </c>
      <c r="U53" s="27" t="str">
        <f t="shared" si="4"/>
        <v>OK</v>
      </c>
      <c r="V53" s="27">
        <f t="shared" si="5"/>
        <v>3</v>
      </c>
      <c r="W53" s="27">
        <f t="shared" si="6"/>
        <v>4</v>
      </c>
      <c r="X53" s="27">
        <f t="shared" si="7"/>
        <v>8</v>
      </c>
      <c r="Y53" s="27">
        <f t="shared" si="8"/>
        <v>15</v>
      </c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>
        <v>1</v>
      </c>
      <c r="AL53" s="32">
        <v>1</v>
      </c>
      <c r="AM53" s="32">
        <v>1</v>
      </c>
      <c r="AN53" s="32"/>
      <c r="AO53" s="32">
        <v>1</v>
      </c>
      <c r="AP53" s="32"/>
      <c r="AQ53" s="32"/>
      <c r="AR53" s="32">
        <v>1</v>
      </c>
      <c r="AS53" s="32"/>
      <c r="AT53" s="32">
        <v>1</v>
      </c>
      <c r="AU53" s="32">
        <v>1</v>
      </c>
      <c r="AV53" s="32"/>
      <c r="AW53" s="32"/>
      <c r="AX53" s="32"/>
      <c r="AY53" s="32">
        <v>1</v>
      </c>
      <c r="AZ53" s="32">
        <v>1</v>
      </c>
      <c r="BA53" s="32">
        <v>1</v>
      </c>
      <c r="BB53" s="32">
        <v>1</v>
      </c>
      <c r="BC53" s="32">
        <v>1</v>
      </c>
      <c r="BD53" s="32"/>
      <c r="BE53" s="32">
        <v>1</v>
      </c>
      <c r="BF53" s="32">
        <v>1</v>
      </c>
      <c r="BG53" s="32"/>
      <c r="BH53" s="32">
        <v>1</v>
      </c>
      <c r="BI53" s="32"/>
      <c r="BJ53" s="33"/>
      <c r="BK53" s="33"/>
      <c r="BL53" s="34"/>
      <c r="BM53" s="34"/>
      <c r="BN53" s="34" t="s">
        <v>290</v>
      </c>
      <c r="BO53" s="27"/>
      <c r="BP53" s="27"/>
    </row>
    <row r="54" spans="1:68" x14ac:dyDescent="0.3">
      <c r="A54" s="25">
        <v>52</v>
      </c>
      <c r="B54" s="26" t="s">
        <v>291</v>
      </c>
      <c r="C54" s="27" t="s">
        <v>292</v>
      </c>
      <c r="D54" s="28" t="s">
        <v>293</v>
      </c>
      <c r="E54" s="26" t="str">
        <f>IFERROR(VLOOKUP($D54,[1]DUK!$B$2:$D$57,3,FALSE),"")</f>
        <v>198009192010011006</v>
      </c>
      <c r="F54" s="27" t="s">
        <v>135</v>
      </c>
      <c r="G54" s="28" t="s">
        <v>294</v>
      </c>
      <c r="H54" s="29" t="str">
        <f>VLOOKUP(G54,'[1]03. DAFTAR MAPEL'!$C$3:$E$68,2,FALSE)</f>
        <v>DPKO</v>
      </c>
      <c r="I54" s="30" t="s">
        <v>295</v>
      </c>
      <c r="J54" s="27">
        <v>2</v>
      </c>
      <c r="K54" s="27">
        <v>0</v>
      </c>
      <c r="L54" s="27">
        <v>0</v>
      </c>
      <c r="M54" s="27">
        <f>J54*4</f>
        <v>8</v>
      </c>
      <c r="N54" s="27">
        <f t="shared" ref="N54:O69" si="40">K54*3</f>
        <v>0</v>
      </c>
      <c r="O54" s="27">
        <f t="shared" si="40"/>
        <v>0</v>
      </c>
      <c r="P54" s="27">
        <f t="shared" si="2"/>
        <v>8</v>
      </c>
      <c r="Q54" s="27">
        <v>8</v>
      </c>
      <c r="R54" s="27">
        <v>0</v>
      </c>
      <c r="S54" s="27">
        <v>0</v>
      </c>
      <c r="T54" s="27">
        <f t="shared" si="3"/>
        <v>8</v>
      </c>
      <c r="U54" s="27" t="str">
        <f t="shared" si="4"/>
        <v>OK</v>
      </c>
      <c r="V54" s="27">
        <f t="shared" si="5"/>
        <v>8</v>
      </c>
      <c r="W54" s="27">
        <f t="shared" si="6"/>
        <v>0</v>
      </c>
      <c r="X54" s="27">
        <f t="shared" si="7"/>
        <v>0</v>
      </c>
      <c r="Y54" s="27">
        <f t="shared" si="8"/>
        <v>8</v>
      </c>
      <c r="Z54" s="32">
        <v>2</v>
      </c>
      <c r="AA54" s="32">
        <v>2</v>
      </c>
      <c r="AB54" s="32">
        <v>2</v>
      </c>
      <c r="AC54" s="32">
        <v>2</v>
      </c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3" t="s">
        <v>296</v>
      </c>
      <c r="BK54" s="33"/>
      <c r="BL54" s="34"/>
      <c r="BM54" s="34"/>
      <c r="BN54" s="34"/>
      <c r="BO54" s="27"/>
      <c r="BP54" s="27"/>
    </row>
    <row r="55" spans="1:68" x14ac:dyDescent="0.3">
      <c r="A55" s="25">
        <v>53</v>
      </c>
      <c r="B55" s="26" t="s">
        <v>297</v>
      </c>
      <c r="C55" s="27" t="s">
        <v>298</v>
      </c>
      <c r="D55" s="28" t="s">
        <v>293</v>
      </c>
      <c r="E55" s="26" t="str">
        <f>IFERROR(VLOOKUP($D55,[1]DUK!$B$2:$D$57,3,FALSE),"")</f>
        <v>198009192010011006</v>
      </c>
      <c r="F55" s="27" t="s">
        <v>135</v>
      </c>
      <c r="G55" s="28" t="s">
        <v>299</v>
      </c>
      <c r="H55" s="29" t="str">
        <f>VLOOKUP(G55,'[1]03. DAFTAR MAPEL'!$C$3:$E$68,2,FALSE)</f>
        <v>MKTKR</v>
      </c>
      <c r="I55" s="30" t="s">
        <v>295</v>
      </c>
      <c r="J55" s="27">
        <v>0</v>
      </c>
      <c r="K55" s="27">
        <v>4</v>
      </c>
      <c r="L55" s="27">
        <v>4</v>
      </c>
      <c r="M55" s="27">
        <f t="shared" ref="M55:O70" si="41">J55*3</f>
        <v>0</v>
      </c>
      <c r="N55" s="27">
        <f t="shared" si="40"/>
        <v>12</v>
      </c>
      <c r="O55" s="27">
        <f t="shared" si="40"/>
        <v>12</v>
      </c>
      <c r="P55" s="27">
        <f t="shared" si="2"/>
        <v>24</v>
      </c>
      <c r="Q55" s="27">
        <v>0</v>
      </c>
      <c r="R55" s="27">
        <v>12</v>
      </c>
      <c r="S55" s="27">
        <v>0</v>
      </c>
      <c r="T55" s="27">
        <f t="shared" si="3"/>
        <v>12</v>
      </c>
      <c r="U55" s="27" t="str">
        <f t="shared" si="4"/>
        <v>OK</v>
      </c>
      <c r="V55" s="27">
        <f t="shared" si="5"/>
        <v>0</v>
      </c>
      <c r="W55" s="27">
        <f t="shared" si="6"/>
        <v>12</v>
      </c>
      <c r="X55" s="27">
        <f t="shared" si="7"/>
        <v>0</v>
      </c>
      <c r="Y55" s="27">
        <f t="shared" si="8"/>
        <v>12</v>
      </c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>
        <v>4</v>
      </c>
      <c r="AO55" s="32">
        <v>4</v>
      </c>
      <c r="AP55" s="32">
        <v>4</v>
      </c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3" t="s">
        <v>296</v>
      </c>
      <c r="BK55" s="33"/>
      <c r="BL55" s="34"/>
      <c r="BM55" s="34"/>
      <c r="BN55" s="34"/>
      <c r="BO55" s="27"/>
      <c r="BP55" s="27"/>
    </row>
    <row r="56" spans="1:68" x14ac:dyDescent="0.3">
      <c r="A56" s="25">
        <v>54</v>
      </c>
      <c r="B56" s="26" t="s">
        <v>300</v>
      </c>
      <c r="C56" s="27" t="s">
        <v>301</v>
      </c>
      <c r="D56" s="28" t="s">
        <v>293</v>
      </c>
      <c r="E56" s="26" t="str">
        <f>IFERROR(VLOOKUP($D56,[1]DUK!$B$2:$D$57,3,FALSE),"")</f>
        <v>198009192010011006</v>
      </c>
      <c r="F56" s="27" t="s">
        <v>135</v>
      </c>
      <c r="G56" s="28" t="s">
        <v>302</v>
      </c>
      <c r="H56" s="29" t="str">
        <f>VLOOKUP(G56,'[1]03. DAFTAR MAPEL'!$C$3:$E$68,2,FALSE)</f>
        <v>MKTKR</v>
      </c>
      <c r="I56" s="30" t="s">
        <v>295</v>
      </c>
      <c r="J56" s="27">
        <v>0</v>
      </c>
      <c r="K56" s="27">
        <v>0</v>
      </c>
      <c r="L56" s="27">
        <v>5</v>
      </c>
      <c r="M56" s="27">
        <f t="shared" si="41"/>
        <v>0</v>
      </c>
      <c r="N56" s="27">
        <f t="shared" si="40"/>
        <v>0</v>
      </c>
      <c r="O56" s="27">
        <f t="shared" si="40"/>
        <v>15</v>
      </c>
      <c r="P56" s="27">
        <f t="shared" si="2"/>
        <v>15</v>
      </c>
      <c r="Q56" s="27">
        <v>0</v>
      </c>
      <c r="R56" s="27">
        <v>0</v>
      </c>
      <c r="S56" s="27">
        <v>15</v>
      </c>
      <c r="T56" s="27">
        <f t="shared" si="3"/>
        <v>15</v>
      </c>
      <c r="U56" s="27" t="str">
        <f t="shared" si="4"/>
        <v>OK</v>
      </c>
      <c r="V56" s="27">
        <f t="shared" si="5"/>
        <v>0</v>
      </c>
      <c r="W56" s="27">
        <f t="shared" si="6"/>
        <v>0</v>
      </c>
      <c r="X56" s="27">
        <f t="shared" si="7"/>
        <v>15</v>
      </c>
      <c r="Y56" s="27">
        <f t="shared" si="8"/>
        <v>15</v>
      </c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>
        <v>5</v>
      </c>
      <c r="AZ56" s="32">
        <v>5</v>
      </c>
      <c r="BA56" s="32">
        <v>5</v>
      </c>
      <c r="BB56" s="32"/>
      <c r="BC56" s="32"/>
      <c r="BD56" s="32"/>
      <c r="BE56" s="32"/>
      <c r="BF56" s="32"/>
      <c r="BG56" s="32"/>
      <c r="BH56" s="32"/>
      <c r="BI56" s="32"/>
      <c r="BJ56" s="33" t="s">
        <v>296</v>
      </c>
      <c r="BK56" s="33"/>
      <c r="BL56" s="34"/>
      <c r="BM56" s="34"/>
      <c r="BN56" s="34"/>
      <c r="BO56" s="27"/>
      <c r="BP56" s="27"/>
    </row>
    <row r="57" spans="1:68" x14ac:dyDescent="0.3">
      <c r="A57" s="25">
        <v>55</v>
      </c>
      <c r="B57" s="26" t="s">
        <v>303</v>
      </c>
      <c r="C57" s="27" t="s">
        <v>304</v>
      </c>
      <c r="D57" s="28" t="s">
        <v>305</v>
      </c>
      <c r="E57" s="26" t="str">
        <f>IFERROR(VLOOKUP($D57,[1]DUK!$B$2:$D$57,3,FALSE),"")</f>
        <v>199006172020121010</v>
      </c>
      <c r="F57" s="27" t="s">
        <v>135</v>
      </c>
      <c r="G57" s="28" t="s">
        <v>306</v>
      </c>
      <c r="H57" s="29" t="str">
        <f>VLOOKUP(G57,'[1]03. DAFTAR MAPEL'!$C$3:$E$68,2,FALSE)</f>
        <v>DPKO</v>
      </c>
      <c r="I57" s="30" t="s">
        <v>307</v>
      </c>
      <c r="J57" s="27">
        <v>3</v>
      </c>
      <c r="K57" s="27">
        <v>0</v>
      </c>
      <c r="L57" s="27">
        <v>0</v>
      </c>
      <c r="M57" s="27">
        <f>J57*4</f>
        <v>12</v>
      </c>
      <c r="N57" s="27">
        <f t="shared" si="40"/>
        <v>0</v>
      </c>
      <c r="O57" s="27">
        <f t="shared" si="40"/>
        <v>0</v>
      </c>
      <c r="P57" s="27">
        <f t="shared" si="2"/>
        <v>12</v>
      </c>
      <c r="Q57" s="27">
        <v>12</v>
      </c>
      <c r="R57" s="27">
        <v>0</v>
      </c>
      <c r="S57" s="27">
        <v>0</v>
      </c>
      <c r="T57" s="27">
        <f t="shared" si="3"/>
        <v>12</v>
      </c>
      <c r="U57" s="27" t="str">
        <f t="shared" si="4"/>
        <v>OK</v>
      </c>
      <c r="V57" s="27">
        <f t="shared" ref="V57:V100" si="42">SUM(Z57:AM57)</f>
        <v>12</v>
      </c>
      <c r="W57" s="27">
        <f t="shared" ref="W57:W100" si="43">SUM(AN57:AX57)</f>
        <v>0</v>
      </c>
      <c r="X57" s="27">
        <f t="shared" ref="X57:X100" si="44">SUM(AY57:BI57)</f>
        <v>0</v>
      </c>
      <c r="Y57" s="27">
        <f t="shared" ref="Y57:Y100" si="45">SUM(V57:X57)</f>
        <v>12</v>
      </c>
      <c r="Z57" s="32">
        <v>3</v>
      </c>
      <c r="AA57" s="32">
        <v>3</v>
      </c>
      <c r="AB57" s="32">
        <v>3</v>
      </c>
      <c r="AC57" s="32">
        <v>3</v>
      </c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3" t="s">
        <v>308</v>
      </c>
      <c r="BK57" s="33" t="s">
        <v>309</v>
      </c>
      <c r="BL57" s="34"/>
      <c r="BM57" s="34"/>
      <c r="BN57" s="34"/>
      <c r="BO57" s="27"/>
      <c r="BP57" s="27"/>
    </row>
    <row r="58" spans="1:68" x14ac:dyDescent="0.3">
      <c r="A58" s="25">
        <v>56</v>
      </c>
      <c r="B58" s="26" t="s">
        <v>310</v>
      </c>
      <c r="C58" s="27" t="s">
        <v>311</v>
      </c>
      <c r="D58" s="28" t="s">
        <v>305</v>
      </c>
      <c r="E58" s="26" t="str">
        <f>IFERROR(VLOOKUP($D58,[1]DUK!$B$2:$D$57,3,FALSE),"")</f>
        <v>199006172020121010</v>
      </c>
      <c r="F58" s="27" t="s">
        <v>135</v>
      </c>
      <c r="G58" s="28" t="s">
        <v>312</v>
      </c>
      <c r="H58" s="29" t="str">
        <f>VLOOKUP(G58,'[1]03. DAFTAR MAPEL'!$C$3:$E$68,2,FALSE)</f>
        <v>MKTKR</v>
      </c>
      <c r="I58" s="30" t="s">
        <v>307</v>
      </c>
      <c r="J58" s="27">
        <v>0</v>
      </c>
      <c r="K58" s="27">
        <v>2</v>
      </c>
      <c r="L58" s="27">
        <v>4</v>
      </c>
      <c r="M58" s="27">
        <f t="shared" si="41"/>
        <v>0</v>
      </c>
      <c r="N58" s="27">
        <f t="shared" si="40"/>
        <v>6</v>
      </c>
      <c r="O58" s="27">
        <f t="shared" si="40"/>
        <v>12</v>
      </c>
      <c r="P58" s="27">
        <f t="shared" si="2"/>
        <v>18</v>
      </c>
      <c r="Q58" s="27">
        <v>0</v>
      </c>
      <c r="R58" s="27">
        <v>2</v>
      </c>
      <c r="S58" s="27">
        <v>0</v>
      </c>
      <c r="T58" s="27">
        <f t="shared" si="3"/>
        <v>2</v>
      </c>
      <c r="U58" s="27" t="str">
        <f t="shared" si="4"/>
        <v>OK</v>
      </c>
      <c r="V58" s="27">
        <f t="shared" si="42"/>
        <v>0</v>
      </c>
      <c r="W58" s="27">
        <f t="shared" si="43"/>
        <v>2</v>
      </c>
      <c r="X58" s="27">
        <f t="shared" si="44"/>
        <v>0</v>
      </c>
      <c r="Y58" s="27">
        <f t="shared" si="45"/>
        <v>2</v>
      </c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>
        <v>2</v>
      </c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3" t="s">
        <v>308</v>
      </c>
      <c r="BK58" s="33" t="s">
        <v>309</v>
      </c>
      <c r="BL58" s="34"/>
      <c r="BM58" s="34"/>
      <c r="BN58" s="34"/>
      <c r="BO58" s="27"/>
      <c r="BP58" s="27"/>
    </row>
    <row r="59" spans="1:68" x14ac:dyDescent="0.3">
      <c r="A59" s="25">
        <v>57</v>
      </c>
      <c r="B59" s="26" t="s">
        <v>313</v>
      </c>
      <c r="C59" s="27" t="s">
        <v>314</v>
      </c>
      <c r="D59" s="28" t="s">
        <v>305</v>
      </c>
      <c r="E59" s="26" t="str">
        <f>IFERROR(VLOOKUP($D59,[1]DUK!$B$2:$D$57,3,FALSE),"")</f>
        <v>199006172020121010</v>
      </c>
      <c r="F59" s="27" t="s">
        <v>135</v>
      </c>
      <c r="G59" s="28" t="s">
        <v>315</v>
      </c>
      <c r="H59" s="29" t="str">
        <f>VLOOKUP(G59,'[1]03. DAFTAR MAPEL'!$C$3:$E$68,2,FALSE)</f>
        <v>KIK TKR</v>
      </c>
      <c r="I59" s="30" t="s">
        <v>307</v>
      </c>
      <c r="J59" s="27">
        <v>0</v>
      </c>
      <c r="K59" s="27">
        <v>5</v>
      </c>
      <c r="L59" s="27">
        <v>5</v>
      </c>
      <c r="M59" s="27">
        <f t="shared" si="41"/>
        <v>0</v>
      </c>
      <c r="N59" s="27">
        <f t="shared" si="40"/>
        <v>15</v>
      </c>
      <c r="O59" s="27">
        <f t="shared" si="40"/>
        <v>15</v>
      </c>
      <c r="P59" s="27">
        <f t="shared" si="2"/>
        <v>30</v>
      </c>
      <c r="Q59" s="27">
        <v>0</v>
      </c>
      <c r="R59" s="27">
        <v>0</v>
      </c>
      <c r="S59" s="27">
        <v>15</v>
      </c>
      <c r="T59" s="27">
        <f t="shared" si="3"/>
        <v>15</v>
      </c>
      <c r="U59" s="27" t="str">
        <f t="shared" si="4"/>
        <v>OK</v>
      </c>
      <c r="V59" s="27">
        <f t="shared" si="42"/>
        <v>0</v>
      </c>
      <c r="W59" s="27">
        <f t="shared" si="43"/>
        <v>0</v>
      </c>
      <c r="X59" s="27">
        <f t="shared" si="44"/>
        <v>15</v>
      </c>
      <c r="Y59" s="27">
        <f t="shared" si="45"/>
        <v>15</v>
      </c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>
        <v>5</v>
      </c>
      <c r="AZ59" s="32">
        <v>5</v>
      </c>
      <c r="BA59" s="32">
        <v>5</v>
      </c>
      <c r="BB59" s="32"/>
      <c r="BC59" s="32"/>
      <c r="BD59" s="32"/>
      <c r="BE59" s="32"/>
      <c r="BF59" s="32"/>
      <c r="BG59" s="32"/>
      <c r="BH59" s="32"/>
      <c r="BI59" s="32"/>
      <c r="BJ59" s="33" t="s">
        <v>308</v>
      </c>
      <c r="BK59" s="33" t="s">
        <v>309</v>
      </c>
      <c r="BL59" s="34"/>
      <c r="BM59" s="34"/>
      <c r="BN59" s="34"/>
      <c r="BO59" s="27"/>
      <c r="BP59" s="27"/>
    </row>
    <row r="60" spans="1:68" x14ac:dyDescent="0.3">
      <c r="A60" s="25">
        <v>58</v>
      </c>
      <c r="B60" s="26" t="s">
        <v>316</v>
      </c>
      <c r="C60" s="27" t="s">
        <v>317</v>
      </c>
      <c r="D60" s="28" t="s">
        <v>305</v>
      </c>
      <c r="E60" s="26" t="str">
        <f>IFERROR(VLOOKUP($D60,[1]DUK!$B$2:$D$57,3,FALSE),"")</f>
        <v>199006172020121010</v>
      </c>
      <c r="F60" s="27" t="s">
        <v>135</v>
      </c>
      <c r="G60" s="28" t="s">
        <v>318</v>
      </c>
      <c r="H60" s="29" t="str">
        <f>VLOOKUP(G60,'[1]03. DAFTAR MAPEL'!$C$3:$E$68,2,FALSE)</f>
        <v>MKTKR</v>
      </c>
      <c r="I60" s="30" t="s">
        <v>319</v>
      </c>
      <c r="J60" s="27">
        <v>0</v>
      </c>
      <c r="K60" s="27">
        <v>3</v>
      </c>
      <c r="L60" s="27">
        <v>0</v>
      </c>
      <c r="M60" s="27">
        <f t="shared" si="41"/>
        <v>0</v>
      </c>
      <c r="N60" s="27">
        <f t="shared" si="40"/>
        <v>9</v>
      </c>
      <c r="O60" s="27">
        <f t="shared" si="40"/>
        <v>0</v>
      </c>
      <c r="P60" s="27">
        <f t="shared" si="2"/>
        <v>9</v>
      </c>
      <c r="Q60" s="27">
        <v>0</v>
      </c>
      <c r="R60" s="27">
        <v>3</v>
      </c>
      <c r="S60" s="27">
        <v>0</v>
      </c>
      <c r="T60" s="27">
        <f t="shared" si="3"/>
        <v>3</v>
      </c>
      <c r="U60" s="27" t="str">
        <f t="shared" si="4"/>
        <v>OK</v>
      </c>
      <c r="V60" s="27">
        <f t="shared" ref="V60" si="46">SUM(Z60:AM60)</f>
        <v>0</v>
      </c>
      <c r="W60" s="27">
        <f t="shared" ref="W60" si="47">SUM(AN60:AX60)</f>
        <v>3</v>
      </c>
      <c r="X60" s="27">
        <f t="shared" ref="X60" si="48">SUM(AY60:BI60)</f>
        <v>0</v>
      </c>
      <c r="Y60" s="27">
        <f t="shared" ref="Y60" si="49">SUM(V60:X60)</f>
        <v>3</v>
      </c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>
        <v>3</v>
      </c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3" t="s">
        <v>308</v>
      </c>
      <c r="BK60" s="33" t="s">
        <v>309</v>
      </c>
      <c r="BL60" s="34"/>
      <c r="BM60" s="34"/>
      <c r="BN60" s="34"/>
      <c r="BO60" s="27"/>
      <c r="BP60" s="27"/>
    </row>
    <row r="61" spans="1:68" x14ac:dyDescent="0.3">
      <c r="A61" s="25">
        <v>59</v>
      </c>
      <c r="B61" s="26" t="s">
        <v>320</v>
      </c>
      <c r="C61" s="27" t="s">
        <v>321</v>
      </c>
      <c r="D61" s="28" t="s">
        <v>322</v>
      </c>
      <c r="E61" s="26" t="str">
        <f>IFERROR(VLOOKUP($D61,[1]DUK!$B$2:$D$57,3,FALSE),"")</f>
        <v>199601162022211005</v>
      </c>
      <c r="F61" s="27" t="s">
        <v>67</v>
      </c>
      <c r="G61" s="28" t="s">
        <v>323</v>
      </c>
      <c r="H61" s="29" t="str">
        <f>VLOOKUP(G61,'[1]03. DAFTAR MAPEL'!$C$3:$E$68,2,FALSE)</f>
        <v>MKTKR</v>
      </c>
      <c r="I61" s="30" t="s">
        <v>319</v>
      </c>
      <c r="J61" s="27">
        <v>0</v>
      </c>
      <c r="K61" s="27">
        <v>5</v>
      </c>
      <c r="L61" s="27">
        <v>0</v>
      </c>
      <c r="M61" s="27">
        <f t="shared" si="41"/>
        <v>0</v>
      </c>
      <c r="N61" s="27">
        <f t="shared" si="40"/>
        <v>15</v>
      </c>
      <c r="O61" s="27">
        <f t="shared" si="40"/>
        <v>0</v>
      </c>
      <c r="P61" s="27">
        <f t="shared" si="2"/>
        <v>15</v>
      </c>
      <c r="Q61" s="27">
        <v>0</v>
      </c>
      <c r="R61" s="27">
        <v>15</v>
      </c>
      <c r="S61" s="27">
        <v>0</v>
      </c>
      <c r="T61" s="27">
        <f t="shared" si="3"/>
        <v>15</v>
      </c>
      <c r="U61" s="27" t="str">
        <f t="shared" si="4"/>
        <v>OK</v>
      </c>
      <c r="V61" s="27">
        <f t="shared" si="42"/>
        <v>0</v>
      </c>
      <c r="W61" s="27">
        <f t="shared" si="43"/>
        <v>15</v>
      </c>
      <c r="X61" s="27">
        <f t="shared" si="44"/>
        <v>0</v>
      </c>
      <c r="Y61" s="27">
        <f t="shared" si="45"/>
        <v>15</v>
      </c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>
        <v>5</v>
      </c>
      <c r="AO61" s="32">
        <v>5</v>
      </c>
      <c r="AP61" s="32">
        <v>5</v>
      </c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3" t="s">
        <v>324</v>
      </c>
      <c r="BK61" s="33"/>
      <c r="BL61" s="34"/>
      <c r="BM61" s="34"/>
      <c r="BN61" s="34"/>
      <c r="BO61" s="27"/>
      <c r="BP61" s="27"/>
    </row>
    <row r="62" spans="1:68" x14ac:dyDescent="0.3">
      <c r="A62" s="25">
        <v>60</v>
      </c>
      <c r="B62" s="26" t="s">
        <v>325</v>
      </c>
      <c r="C62" s="27" t="s">
        <v>326</v>
      </c>
      <c r="D62" s="28" t="s">
        <v>322</v>
      </c>
      <c r="E62" s="26" t="str">
        <f>IFERROR(VLOOKUP($D62,[1]DUK!$B$2:$D$57,3,FALSE),"")</f>
        <v>199601162022211005</v>
      </c>
      <c r="F62" s="27" t="s">
        <v>67</v>
      </c>
      <c r="G62" s="28" t="s">
        <v>318</v>
      </c>
      <c r="H62" s="29" t="str">
        <f>VLOOKUP(G62,'[1]03. DAFTAR MAPEL'!$C$3:$E$68,2,FALSE)</f>
        <v>MKTKR</v>
      </c>
      <c r="I62" s="30" t="s">
        <v>319</v>
      </c>
      <c r="J62" s="27">
        <v>0</v>
      </c>
      <c r="K62" s="27">
        <v>3</v>
      </c>
      <c r="L62" s="27">
        <v>0</v>
      </c>
      <c r="M62" s="27">
        <f t="shared" si="41"/>
        <v>0</v>
      </c>
      <c r="N62" s="27">
        <f t="shared" si="40"/>
        <v>9</v>
      </c>
      <c r="O62" s="27">
        <f t="shared" si="40"/>
        <v>0</v>
      </c>
      <c r="P62" s="27">
        <f t="shared" si="2"/>
        <v>9</v>
      </c>
      <c r="Q62" s="27">
        <v>0</v>
      </c>
      <c r="R62" s="27">
        <v>3</v>
      </c>
      <c r="S62" s="27">
        <v>0</v>
      </c>
      <c r="T62" s="27">
        <f t="shared" si="3"/>
        <v>3</v>
      </c>
      <c r="U62" s="27" t="str">
        <f t="shared" si="4"/>
        <v>OK</v>
      </c>
      <c r="V62" s="27">
        <f t="shared" si="42"/>
        <v>0</v>
      </c>
      <c r="W62" s="27">
        <f t="shared" si="43"/>
        <v>3</v>
      </c>
      <c r="X62" s="27">
        <f t="shared" si="44"/>
        <v>0</v>
      </c>
      <c r="Y62" s="27">
        <f t="shared" si="45"/>
        <v>3</v>
      </c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>
        <v>3</v>
      </c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3" t="s">
        <v>324</v>
      </c>
      <c r="BK62" s="33"/>
      <c r="BL62" s="34"/>
      <c r="BM62" s="34"/>
      <c r="BN62" s="34"/>
      <c r="BO62" s="27"/>
      <c r="BP62" s="27"/>
    </row>
    <row r="63" spans="1:68" x14ac:dyDescent="0.3">
      <c r="A63" s="25">
        <v>61</v>
      </c>
      <c r="B63" s="26" t="s">
        <v>327</v>
      </c>
      <c r="C63" s="27" t="s">
        <v>328</v>
      </c>
      <c r="D63" s="28" t="s">
        <v>322</v>
      </c>
      <c r="E63" s="26" t="str">
        <f>IFERROR(VLOOKUP($D63,[1]DUK!$B$2:$D$57,3,FALSE),"")</f>
        <v>199601162022211005</v>
      </c>
      <c r="F63" s="27" t="s">
        <v>67</v>
      </c>
      <c r="G63" s="28" t="s">
        <v>329</v>
      </c>
      <c r="H63" s="29" t="str">
        <f>VLOOKUP(G63,'[1]03. DAFTAR MAPEL'!$C$3:$E$68,2,FALSE)</f>
        <v>MKTKR</v>
      </c>
      <c r="I63" s="30" t="s">
        <v>319</v>
      </c>
      <c r="J63" s="27">
        <v>0</v>
      </c>
      <c r="K63" s="27">
        <v>0</v>
      </c>
      <c r="L63" s="27">
        <v>5</v>
      </c>
      <c r="M63" s="27">
        <f t="shared" si="41"/>
        <v>0</v>
      </c>
      <c r="N63" s="27">
        <f t="shared" si="40"/>
        <v>0</v>
      </c>
      <c r="O63" s="27">
        <f t="shared" si="40"/>
        <v>15</v>
      </c>
      <c r="P63" s="27">
        <f t="shared" si="2"/>
        <v>15</v>
      </c>
      <c r="Q63" s="27">
        <v>0</v>
      </c>
      <c r="R63" s="27">
        <v>0</v>
      </c>
      <c r="S63" s="27">
        <v>15</v>
      </c>
      <c r="T63" s="27">
        <f t="shared" si="3"/>
        <v>15</v>
      </c>
      <c r="U63" s="27" t="str">
        <f t="shared" si="4"/>
        <v>OK</v>
      </c>
      <c r="V63" s="27">
        <f t="shared" si="42"/>
        <v>0</v>
      </c>
      <c r="W63" s="27">
        <f t="shared" si="43"/>
        <v>0</v>
      </c>
      <c r="X63" s="27">
        <f t="shared" si="44"/>
        <v>15</v>
      </c>
      <c r="Y63" s="27">
        <f t="shared" si="45"/>
        <v>15</v>
      </c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>
        <v>5</v>
      </c>
      <c r="AZ63" s="32">
        <v>5</v>
      </c>
      <c r="BA63" s="32">
        <v>5</v>
      </c>
      <c r="BB63" s="32"/>
      <c r="BC63" s="32"/>
      <c r="BD63" s="32"/>
      <c r="BE63" s="32"/>
      <c r="BF63" s="32"/>
      <c r="BG63" s="32"/>
      <c r="BH63" s="32"/>
      <c r="BI63" s="32"/>
      <c r="BJ63" s="33" t="s">
        <v>324</v>
      </c>
      <c r="BK63" s="33"/>
      <c r="BL63" s="34"/>
      <c r="BM63" s="34"/>
      <c r="BN63" s="34"/>
      <c r="BO63" s="27"/>
      <c r="BP63" s="27"/>
    </row>
    <row r="64" spans="1:68" x14ac:dyDescent="0.3">
      <c r="A64" s="25">
        <v>62</v>
      </c>
      <c r="B64" s="26" t="s">
        <v>330</v>
      </c>
      <c r="C64" s="27" t="s">
        <v>331</v>
      </c>
      <c r="D64" s="28" t="s">
        <v>332</v>
      </c>
      <c r="E64" s="26" t="str">
        <f>IFERROR(VLOOKUP($D64,[1]DUK!$B$2:$D$57,3,FALSE),"")</f>
        <v>199207102025211170</v>
      </c>
      <c r="F64" s="27" t="s">
        <v>100</v>
      </c>
      <c r="G64" s="28" t="s">
        <v>333</v>
      </c>
      <c r="H64" s="29" t="str">
        <f>VLOOKUP(G64,'[1]03. DAFTAR MAPEL'!$C$3:$E$68,2,FALSE)</f>
        <v>DPKO</v>
      </c>
      <c r="I64" s="30" t="s">
        <v>334</v>
      </c>
      <c r="J64" s="27">
        <v>2</v>
      </c>
      <c r="K64" s="27">
        <v>0</v>
      </c>
      <c r="L64" s="27">
        <v>0</v>
      </c>
      <c r="M64" s="27">
        <f>J64*4</f>
        <v>8</v>
      </c>
      <c r="N64" s="27">
        <f t="shared" si="40"/>
        <v>0</v>
      </c>
      <c r="O64" s="27">
        <f t="shared" si="40"/>
        <v>0</v>
      </c>
      <c r="P64" s="27">
        <f t="shared" si="2"/>
        <v>8</v>
      </c>
      <c r="Q64" s="27">
        <v>8</v>
      </c>
      <c r="R64" s="27">
        <v>0</v>
      </c>
      <c r="S64" s="27">
        <v>0</v>
      </c>
      <c r="T64" s="27">
        <f t="shared" si="3"/>
        <v>8</v>
      </c>
      <c r="U64" s="27" t="str">
        <f t="shared" si="4"/>
        <v>OK</v>
      </c>
      <c r="V64" s="27">
        <f t="shared" si="42"/>
        <v>8</v>
      </c>
      <c r="W64" s="27">
        <f t="shared" si="43"/>
        <v>0</v>
      </c>
      <c r="X64" s="27">
        <f t="shared" si="44"/>
        <v>0</v>
      </c>
      <c r="Y64" s="27">
        <f t="shared" si="45"/>
        <v>8</v>
      </c>
      <c r="Z64" s="32">
        <v>2</v>
      </c>
      <c r="AA64" s="32">
        <v>2</v>
      </c>
      <c r="AB64" s="32">
        <v>2</v>
      </c>
      <c r="AC64" s="32">
        <v>2</v>
      </c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3"/>
      <c r="BK64" s="33" t="s">
        <v>335</v>
      </c>
      <c r="BL64" s="34" t="s">
        <v>255</v>
      </c>
      <c r="BM64" s="34"/>
      <c r="BN64" s="34"/>
      <c r="BO64" s="27"/>
      <c r="BP64" s="27"/>
    </row>
    <row r="65" spans="1:68" x14ac:dyDescent="0.3">
      <c r="A65" s="25">
        <v>63</v>
      </c>
      <c r="B65" s="26" t="s">
        <v>336</v>
      </c>
      <c r="C65" s="27" t="s">
        <v>337</v>
      </c>
      <c r="D65" s="28" t="s">
        <v>332</v>
      </c>
      <c r="E65" s="26" t="str">
        <f>IFERROR(VLOOKUP($D65,[1]DUK!$B$2:$D$57,3,FALSE),"")</f>
        <v>199207102025211170</v>
      </c>
      <c r="F65" s="27" t="s">
        <v>100</v>
      </c>
      <c r="G65" s="28" t="s">
        <v>299</v>
      </c>
      <c r="H65" s="29" t="str">
        <f>VLOOKUP(G65,'[1]03. DAFTAR MAPEL'!$C$3:$E$68,2,FALSE)</f>
        <v>MKTKR</v>
      </c>
      <c r="I65" s="30" t="s">
        <v>334</v>
      </c>
      <c r="J65" s="27">
        <v>0</v>
      </c>
      <c r="K65" s="27">
        <v>0</v>
      </c>
      <c r="L65" s="27">
        <v>4</v>
      </c>
      <c r="M65" s="27">
        <f t="shared" si="41"/>
        <v>0</v>
      </c>
      <c r="N65" s="27">
        <f t="shared" si="40"/>
        <v>0</v>
      </c>
      <c r="O65" s="27">
        <f t="shared" si="40"/>
        <v>12</v>
      </c>
      <c r="P65" s="27">
        <f t="shared" si="2"/>
        <v>12</v>
      </c>
      <c r="Q65" s="27">
        <v>0</v>
      </c>
      <c r="R65" s="27">
        <v>0</v>
      </c>
      <c r="S65" s="27">
        <v>12</v>
      </c>
      <c r="T65" s="27">
        <f t="shared" si="3"/>
        <v>12</v>
      </c>
      <c r="U65" s="27" t="str">
        <f t="shared" si="4"/>
        <v>OK</v>
      </c>
      <c r="V65" s="27">
        <f t="shared" si="42"/>
        <v>0</v>
      </c>
      <c r="W65" s="27">
        <f t="shared" si="43"/>
        <v>0</v>
      </c>
      <c r="X65" s="27">
        <f t="shared" si="44"/>
        <v>12</v>
      </c>
      <c r="Y65" s="27">
        <f t="shared" si="45"/>
        <v>12</v>
      </c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>
        <v>4</v>
      </c>
      <c r="AZ65" s="32">
        <v>4</v>
      </c>
      <c r="BA65" s="32">
        <v>4</v>
      </c>
      <c r="BB65" s="32"/>
      <c r="BC65" s="32"/>
      <c r="BD65" s="32"/>
      <c r="BE65" s="32"/>
      <c r="BF65" s="32"/>
      <c r="BG65" s="32"/>
      <c r="BH65" s="32"/>
      <c r="BI65" s="32"/>
      <c r="BJ65" s="33"/>
      <c r="BK65" s="33" t="s">
        <v>335</v>
      </c>
      <c r="BL65" s="34" t="s">
        <v>255</v>
      </c>
      <c r="BM65" s="34"/>
      <c r="BN65" s="34"/>
      <c r="BO65" s="27"/>
      <c r="BP65" s="27"/>
    </row>
    <row r="66" spans="1:68" x14ac:dyDescent="0.3">
      <c r="A66" s="25">
        <v>64</v>
      </c>
      <c r="B66" s="26" t="s">
        <v>338</v>
      </c>
      <c r="C66" s="27" t="s">
        <v>339</v>
      </c>
      <c r="D66" s="28" t="s">
        <v>332</v>
      </c>
      <c r="E66" s="26" t="str">
        <f>IFERROR(VLOOKUP($D66,[1]DUK!$B$2:$D$57,3,FALSE),"")</f>
        <v>199207102025211170</v>
      </c>
      <c r="F66" s="27" t="s">
        <v>100</v>
      </c>
      <c r="G66" s="28" t="s">
        <v>91</v>
      </c>
      <c r="H66" s="29" t="str">
        <f>VLOOKUP(G66,'[1]03. DAFTAR MAPEL'!$C$3:$E$68,2,FALSE)</f>
        <v>B. INDO</v>
      </c>
      <c r="I66" s="30" t="s">
        <v>334</v>
      </c>
      <c r="J66" s="27">
        <v>4</v>
      </c>
      <c r="K66" s="27">
        <v>3</v>
      </c>
      <c r="L66" s="27">
        <v>3</v>
      </c>
      <c r="M66" s="27">
        <f>J66*14</f>
        <v>56</v>
      </c>
      <c r="N66" s="27">
        <f>K66*11</f>
        <v>33</v>
      </c>
      <c r="O66" s="27">
        <f>L66*11</f>
        <v>33</v>
      </c>
      <c r="P66" s="27">
        <f t="shared" si="2"/>
        <v>122</v>
      </c>
      <c r="Q66" s="27">
        <v>12</v>
      </c>
      <c r="R66" s="27">
        <v>0</v>
      </c>
      <c r="S66" s="27">
        <v>6</v>
      </c>
      <c r="T66" s="27">
        <f t="shared" si="3"/>
        <v>18</v>
      </c>
      <c r="U66" s="27" t="str">
        <f t="shared" si="4"/>
        <v>OK</v>
      </c>
      <c r="V66" s="27">
        <f t="shared" si="42"/>
        <v>12</v>
      </c>
      <c r="W66" s="27">
        <f t="shared" si="43"/>
        <v>0</v>
      </c>
      <c r="X66" s="27">
        <f t="shared" si="44"/>
        <v>6</v>
      </c>
      <c r="Y66" s="27">
        <f t="shared" si="45"/>
        <v>18</v>
      </c>
      <c r="Z66" s="32"/>
      <c r="AA66" s="32"/>
      <c r="AB66" s="32"/>
      <c r="AC66" s="32"/>
      <c r="AD66" s="32">
        <v>4</v>
      </c>
      <c r="AE66" s="32">
        <v>4</v>
      </c>
      <c r="AF66" s="32">
        <v>4</v>
      </c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>
        <v>3</v>
      </c>
      <c r="BI66" s="32">
        <v>3</v>
      </c>
      <c r="BJ66" s="33"/>
      <c r="BK66" s="33" t="s">
        <v>335</v>
      </c>
      <c r="BL66" s="34" t="s">
        <v>255</v>
      </c>
      <c r="BM66" s="34"/>
      <c r="BN66" s="34"/>
      <c r="BO66" s="27"/>
      <c r="BP66" s="27"/>
    </row>
    <row r="67" spans="1:68" x14ac:dyDescent="0.3">
      <c r="A67" s="25">
        <v>65</v>
      </c>
      <c r="B67" s="26" t="s">
        <v>340</v>
      </c>
      <c r="C67" s="27" t="s">
        <v>341</v>
      </c>
      <c r="D67" s="28" t="s">
        <v>342</v>
      </c>
      <c r="E67" s="26" t="str">
        <f>IFERROR(VLOOKUP($D67,[1]DUK!$B$2:$D$57,3,FALSE),"")</f>
        <v>199404302025212153</v>
      </c>
      <c r="F67" s="27" t="s">
        <v>100</v>
      </c>
      <c r="G67" s="28" t="s">
        <v>343</v>
      </c>
      <c r="H67" s="29" t="str">
        <f>VLOOKUP(G67,'[1]03. DAFTAR MAPEL'!$C$3:$E$68,2,FALSE)</f>
        <v>DPKO</v>
      </c>
      <c r="I67" s="30" t="s">
        <v>344</v>
      </c>
      <c r="J67" s="27">
        <v>3</v>
      </c>
      <c r="K67" s="27">
        <v>0</v>
      </c>
      <c r="L67" s="27">
        <v>0</v>
      </c>
      <c r="M67" s="27">
        <f>J67*4</f>
        <v>12</v>
      </c>
      <c r="N67" s="27">
        <f t="shared" si="40"/>
        <v>0</v>
      </c>
      <c r="O67" s="27">
        <f t="shared" si="40"/>
        <v>0</v>
      </c>
      <c r="P67" s="27">
        <f t="shared" si="2"/>
        <v>12</v>
      </c>
      <c r="Q67" s="27">
        <v>12</v>
      </c>
      <c r="R67" s="27">
        <v>0</v>
      </c>
      <c r="S67" s="27">
        <v>0</v>
      </c>
      <c r="T67" s="27">
        <f t="shared" si="3"/>
        <v>12</v>
      </c>
      <c r="U67" s="27" t="str">
        <f t="shared" si="4"/>
        <v>OK</v>
      </c>
      <c r="V67" s="27">
        <f t="shared" si="42"/>
        <v>12</v>
      </c>
      <c r="W67" s="27">
        <f t="shared" si="43"/>
        <v>0</v>
      </c>
      <c r="X67" s="27">
        <f t="shared" si="44"/>
        <v>0</v>
      </c>
      <c r="Y67" s="27">
        <f t="shared" si="45"/>
        <v>12</v>
      </c>
      <c r="Z67" s="32">
        <v>3</v>
      </c>
      <c r="AA67" s="32">
        <v>3</v>
      </c>
      <c r="AB67" s="32">
        <v>3</v>
      </c>
      <c r="AC67" s="32">
        <v>3</v>
      </c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3"/>
      <c r="BK67" s="33" t="s">
        <v>345</v>
      </c>
      <c r="BL67" s="34" t="s">
        <v>346</v>
      </c>
      <c r="BM67" s="34"/>
      <c r="BN67" s="34"/>
      <c r="BO67" s="27"/>
      <c r="BP67" s="27"/>
    </row>
    <row r="68" spans="1:68" x14ac:dyDescent="0.3">
      <c r="A68" s="25">
        <v>66</v>
      </c>
      <c r="B68" s="26" t="s">
        <v>347</v>
      </c>
      <c r="C68" s="27" t="s">
        <v>348</v>
      </c>
      <c r="D68" s="28" t="s">
        <v>342</v>
      </c>
      <c r="E68" s="26" t="str">
        <f>IFERROR(VLOOKUP($D68,[1]DUK!$B$2:$D$57,3,FALSE),"")</f>
        <v>199404302025212153</v>
      </c>
      <c r="F68" s="27" t="s">
        <v>100</v>
      </c>
      <c r="G68" s="28" t="s">
        <v>318</v>
      </c>
      <c r="H68" s="29" t="str">
        <f>VLOOKUP(G68,'[1]03. DAFTAR MAPEL'!$C$3:$E$68,2,FALSE)</f>
        <v>MKTKR</v>
      </c>
      <c r="I68" s="30" t="s">
        <v>344</v>
      </c>
      <c r="J68" s="27">
        <v>0</v>
      </c>
      <c r="K68" s="27">
        <v>3</v>
      </c>
      <c r="L68" s="27">
        <v>0</v>
      </c>
      <c r="M68" s="27">
        <f t="shared" si="41"/>
        <v>0</v>
      </c>
      <c r="N68" s="27">
        <f t="shared" si="40"/>
        <v>9</v>
      </c>
      <c r="O68" s="27">
        <f t="shared" si="40"/>
        <v>0</v>
      </c>
      <c r="P68" s="27">
        <f t="shared" si="2"/>
        <v>9</v>
      </c>
      <c r="Q68" s="27">
        <v>0</v>
      </c>
      <c r="R68" s="27">
        <v>3</v>
      </c>
      <c r="S68" s="27">
        <v>0</v>
      </c>
      <c r="T68" s="27">
        <f t="shared" si="3"/>
        <v>3</v>
      </c>
      <c r="U68" s="27" t="str">
        <f t="shared" si="4"/>
        <v>OK</v>
      </c>
      <c r="V68" s="27">
        <f t="shared" si="42"/>
        <v>0</v>
      </c>
      <c r="W68" s="27">
        <f t="shared" si="43"/>
        <v>3</v>
      </c>
      <c r="X68" s="27">
        <f t="shared" si="44"/>
        <v>0</v>
      </c>
      <c r="Y68" s="27">
        <f t="shared" si="45"/>
        <v>3</v>
      </c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>
        <v>3</v>
      </c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3"/>
      <c r="BK68" s="33" t="s">
        <v>345</v>
      </c>
      <c r="BL68" s="34" t="s">
        <v>346</v>
      </c>
      <c r="BM68" s="34"/>
      <c r="BN68" s="34"/>
      <c r="BO68" s="27"/>
      <c r="BP68" s="27"/>
    </row>
    <row r="69" spans="1:68" x14ac:dyDescent="0.3">
      <c r="A69" s="25">
        <v>67</v>
      </c>
      <c r="B69" s="26" t="s">
        <v>349</v>
      </c>
      <c r="C69" s="27" t="s">
        <v>350</v>
      </c>
      <c r="D69" s="28" t="s">
        <v>342</v>
      </c>
      <c r="E69" s="26" t="str">
        <f>IFERROR(VLOOKUP($D69,[1]DUK!$B$2:$D$57,3,FALSE),"")</f>
        <v>199404302025212153</v>
      </c>
      <c r="F69" s="27" t="s">
        <v>100</v>
      </c>
      <c r="G69" s="28" t="s">
        <v>351</v>
      </c>
      <c r="H69" s="29" t="str">
        <f>VLOOKUP(G69,'[1]03. DAFTAR MAPEL'!$C$3:$E$68,2,FALSE)</f>
        <v>MKTKR</v>
      </c>
      <c r="I69" s="30" t="s">
        <v>344</v>
      </c>
      <c r="J69" s="27">
        <v>0</v>
      </c>
      <c r="K69" s="27">
        <v>4</v>
      </c>
      <c r="L69" s="27">
        <v>4</v>
      </c>
      <c r="M69" s="27">
        <f t="shared" si="41"/>
        <v>0</v>
      </c>
      <c r="N69" s="27">
        <f t="shared" si="40"/>
        <v>12</v>
      </c>
      <c r="O69" s="27">
        <f t="shared" si="40"/>
        <v>12</v>
      </c>
      <c r="P69" s="27">
        <f t="shared" ref="P69:P120" si="50">SUM(M69:O69)</f>
        <v>24</v>
      </c>
      <c r="Q69" s="27">
        <v>0</v>
      </c>
      <c r="R69" s="27">
        <v>4</v>
      </c>
      <c r="S69" s="27">
        <v>12</v>
      </c>
      <c r="T69" s="27">
        <f t="shared" ref="T69:T120" si="51">SUM(Q69:S69)</f>
        <v>16</v>
      </c>
      <c r="U69" s="27" t="str">
        <f t="shared" ref="U69:U120" si="52">IF(T69=Y69,"OK","CEK")</f>
        <v>OK</v>
      </c>
      <c r="V69" s="27">
        <f t="shared" si="42"/>
        <v>0</v>
      </c>
      <c r="W69" s="27">
        <f t="shared" si="43"/>
        <v>4</v>
      </c>
      <c r="X69" s="27">
        <f t="shared" si="44"/>
        <v>12</v>
      </c>
      <c r="Y69" s="27">
        <f t="shared" si="45"/>
        <v>16</v>
      </c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>
        <v>4</v>
      </c>
      <c r="AP69" s="32"/>
      <c r="AQ69" s="32"/>
      <c r="AR69" s="32"/>
      <c r="AS69" s="32"/>
      <c r="AT69" s="32"/>
      <c r="AU69" s="32"/>
      <c r="AV69" s="32"/>
      <c r="AW69" s="32"/>
      <c r="AX69" s="32"/>
      <c r="AY69" s="32">
        <v>4</v>
      </c>
      <c r="AZ69" s="32">
        <v>4</v>
      </c>
      <c r="BA69" s="32">
        <v>4</v>
      </c>
      <c r="BB69" s="32"/>
      <c r="BC69" s="32"/>
      <c r="BD69" s="32"/>
      <c r="BE69" s="32"/>
      <c r="BF69" s="32"/>
      <c r="BG69" s="32"/>
      <c r="BH69" s="32"/>
      <c r="BI69" s="32"/>
      <c r="BJ69" s="33"/>
      <c r="BK69" s="33" t="s">
        <v>345</v>
      </c>
      <c r="BL69" s="34" t="s">
        <v>346</v>
      </c>
      <c r="BM69" s="34"/>
      <c r="BN69" s="34"/>
      <c r="BO69" s="27"/>
      <c r="BP69" s="27"/>
    </row>
    <row r="70" spans="1:68" x14ac:dyDescent="0.3">
      <c r="A70" s="25">
        <v>68</v>
      </c>
      <c r="B70" s="26" t="s">
        <v>352</v>
      </c>
      <c r="C70" s="27" t="s">
        <v>353</v>
      </c>
      <c r="D70" s="28" t="s">
        <v>354</v>
      </c>
      <c r="E70" s="26" t="str">
        <f>IFERROR(VLOOKUP($D70,[1]DUK!$B$2:$D$57,3,FALSE),"")</f>
        <v>198512202025211121</v>
      </c>
      <c r="F70" s="27" t="s">
        <v>100</v>
      </c>
      <c r="G70" s="28" t="s">
        <v>355</v>
      </c>
      <c r="H70" s="29" t="str">
        <f>VLOOKUP(G70,'[1]03. DAFTAR MAPEL'!$C$3:$E$68,2,FALSE)</f>
        <v>DPKO</v>
      </c>
      <c r="I70" s="30" t="s">
        <v>356</v>
      </c>
      <c r="J70" s="27">
        <v>2</v>
      </c>
      <c r="K70" s="27">
        <v>0</v>
      </c>
      <c r="L70" s="27">
        <v>0</v>
      </c>
      <c r="M70" s="27">
        <f>J70*4</f>
        <v>8</v>
      </c>
      <c r="N70" s="27">
        <f t="shared" si="41"/>
        <v>0</v>
      </c>
      <c r="O70" s="27">
        <f t="shared" si="41"/>
        <v>0</v>
      </c>
      <c r="P70" s="27">
        <f t="shared" si="50"/>
        <v>8</v>
      </c>
      <c r="Q70" s="27">
        <v>8</v>
      </c>
      <c r="R70" s="27">
        <v>0</v>
      </c>
      <c r="S70" s="27">
        <v>0</v>
      </c>
      <c r="T70" s="27">
        <f t="shared" si="51"/>
        <v>8</v>
      </c>
      <c r="U70" s="27" t="str">
        <f t="shared" si="52"/>
        <v>OK</v>
      </c>
      <c r="V70" s="27">
        <f t="shared" si="42"/>
        <v>8</v>
      </c>
      <c r="W70" s="27">
        <f t="shared" si="43"/>
        <v>0</v>
      </c>
      <c r="X70" s="27">
        <f t="shared" si="44"/>
        <v>0</v>
      </c>
      <c r="Y70" s="27">
        <f t="shared" si="45"/>
        <v>8</v>
      </c>
      <c r="Z70" s="32">
        <v>2</v>
      </c>
      <c r="AA70" s="32">
        <v>2</v>
      </c>
      <c r="AB70" s="32">
        <v>2</v>
      </c>
      <c r="AC70" s="32">
        <v>2</v>
      </c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3"/>
      <c r="BK70" s="33" t="s">
        <v>357</v>
      </c>
      <c r="BL70" s="34"/>
      <c r="BM70" s="34"/>
      <c r="BN70" s="34" t="s">
        <v>358</v>
      </c>
      <c r="BO70" s="27"/>
      <c r="BP70" s="27"/>
    </row>
    <row r="71" spans="1:68" x14ac:dyDescent="0.3">
      <c r="A71" s="25">
        <v>69</v>
      </c>
      <c r="B71" s="26" t="s">
        <v>359</v>
      </c>
      <c r="C71" s="27" t="s">
        <v>360</v>
      </c>
      <c r="D71" s="28" t="s">
        <v>354</v>
      </c>
      <c r="E71" s="26" t="str">
        <f>IFERROR(VLOOKUP($D71,[1]DUK!$B$2:$D$57,3,FALSE),"")</f>
        <v>198512202025211121</v>
      </c>
      <c r="F71" s="27" t="s">
        <v>100</v>
      </c>
      <c r="G71" s="28" t="s">
        <v>351</v>
      </c>
      <c r="H71" s="29" t="str">
        <f>VLOOKUP(G71,'[1]03. DAFTAR MAPEL'!$C$3:$E$68,2,FALSE)</f>
        <v>MKTKR</v>
      </c>
      <c r="I71" s="30" t="s">
        <v>356</v>
      </c>
      <c r="J71" s="27">
        <v>0</v>
      </c>
      <c r="K71" s="27">
        <v>4</v>
      </c>
      <c r="L71" s="27">
        <v>4</v>
      </c>
      <c r="M71" s="27">
        <f t="shared" ref="M71:O94" si="53">J71*3</f>
        <v>0</v>
      </c>
      <c r="N71" s="27">
        <f t="shared" si="53"/>
        <v>12</v>
      </c>
      <c r="O71" s="27">
        <f t="shared" si="53"/>
        <v>12</v>
      </c>
      <c r="P71" s="27">
        <f t="shared" si="50"/>
        <v>24</v>
      </c>
      <c r="Q71" s="27">
        <v>0</v>
      </c>
      <c r="R71" s="27">
        <v>8</v>
      </c>
      <c r="S71" s="27">
        <v>0</v>
      </c>
      <c r="T71" s="27">
        <f t="shared" si="51"/>
        <v>8</v>
      </c>
      <c r="U71" s="27" t="str">
        <f t="shared" si="52"/>
        <v>OK</v>
      </c>
      <c r="V71" s="27">
        <f t="shared" si="42"/>
        <v>0</v>
      </c>
      <c r="W71" s="27">
        <f t="shared" si="43"/>
        <v>8</v>
      </c>
      <c r="X71" s="27">
        <f t="shared" si="44"/>
        <v>0</v>
      </c>
      <c r="Y71" s="27">
        <f t="shared" si="45"/>
        <v>8</v>
      </c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>
        <v>4</v>
      </c>
      <c r="AO71" s="32"/>
      <c r="AP71" s="32">
        <v>4</v>
      </c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3"/>
      <c r="BK71" s="33" t="s">
        <v>357</v>
      </c>
      <c r="BL71" s="34"/>
      <c r="BM71" s="34"/>
      <c r="BN71" s="34" t="s">
        <v>358</v>
      </c>
      <c r="BO71" s="27"/>
      <c r="BP71" s="27"/>
    </row>
    <row r="72" spans="1:68" x14ac:dyDescent="0.3">
      <c r="A72" s="25">
        <v>70</v>
      </c>
      <c r="B72" s="26" t="s">
        <v>361</v>
      </c>
      <c r="C72" s="27" t="s">
        <v>362</v>
      </c>
      <c r="D72" s="28" t="s">
        <v>354</v>
      </c>
      <c r="E72" s="26" t="str">
        <f>IFERROR(VLOOKUP($D72,[1]DUK!$B$2:$D$57,3,FALSE),"")</f>
        <v>198512202025211121</v>
      </c>
      <c r="F72" s="27" t="s">
        <v>100</v>
      </c>
      <c r="G72" s="28" t="s">
        <v>312</v>
      </c>
      <c r="H72" s="29" t="str">
        <f>VLOOKUP(G72,'[1]03. DAFTAR MAPEL'!$C$3:$E$68,2,FALSE)</f>
        <v>MKTKR</v>
      </c>
      <c r="I72" s="30" t="s">
        <v>356</v>
      </c>
      <c r="J72" s="27">
        <v>0</v>
      </c>
      <c r="K72" s="27">
        <v>2</v>
      </c>
      <c r="L72" s="27">
        <v>4</v>
      </c>
      <c r="M72" s="27">
        <f t="shared" si="53"/>
        <v>0</v>
      </c>
      <c r="N72" s="27">
        <f t="shared" si="53"/>
        <v>6</v>
      </c>
      <c r="O72" s="27">
        <f t="shared" si="53"/>
        <v>12</v>
      </c>
      <c r="P72" s="27">
        <f t="shared" si="50"/>
        <v>18</v>
      </c>
      <c r="Q72" s="27">
        <v>0</v>
      </c>
      <c r="R72" s="27">
        <v>4</v>
      </c>
      <c r="S72" s="27">
        <v>12</v>
      </c>
      <c r="T72" s="27">
        <f t="shared" si="51"/>
        <v>16</v>
      </c>
      <c r="U72" s="27" t="str">
        <f t="shared" si="52"/>
        <v>OK</v>
      </c>
      <c r="V72" s="27">
        <f t="shared" si="42"/>
        <v>0</v>
      </c>
      <c r="W72" s="27">
        <f t="shared" si="43"/>
        <v>4</v>
      </c>
      <c r="X72" s="27">
        <f t="shared" si="44"/>
        <v>12</v>
      </c>
      <c r="Y72" s="27">
        <f t="shared" si="45"/>
        <v>16</v>
      </c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>
        <v>2</v>
      </c>
      <c r="AO72" s="32">
        <v>2</v>
      </c>
      <c r="AP72" s="32"/>
      <c r="AQ72" s="32"/>
      <c r="AR72" s="32"/>
      <c r="AS72" s="32"/>
      <c r="AT72" s="32"/>
      <c r="AU72" s="32"/>
      <c r="AV72" s="32"/>
      <c r="AW72" s="32"/>
      <c r="AX72" s="32"/>
      <c r="AY72" s="32">
        <v>4</v>
      </c>
      <c r="AZ72" s="32">
        <v>4</v>
      </c>
      <c r="BA72" s="32">
        <v>4</v>
      </c>
      <c r="BB72" s="32"/>
      <c r="BC72" s="32"/>
      <c r="BD72" s="32"/>
      <c r="BE72" s="32"/>
      <c r="BF72" s="32"/>
      <c r="BG72" s="32"/>
      <c r="BH72" s="32"/>
      <c r="BI72" s="32"/>
      <c r="BJ72" s="33"/>
      <c r="BK72" s="33" t="s">
        <v>357</v>
      </c>
      <c r="BL72" s="34"/>
      <c r="BM72" s="34"/>
      <c r="BN72" s="34" t="s">
        <v>358</v>
      </c>
      <c r="BO72" s="27"/>
      <c r="BP72" s="27"/>
    </row>
    <row r="73" spans="1:68" x14ac:dyDescent="0.3">
      <c r="A73" s="25">
        <v>71</v>
      </c>
      <c r="B73" s="26" t="s">
        <v>363</v>
      </c>
      <c r="C73" s="27" t="s">
        <v>364</v>
      </c>
      <c r="D73" s="28" t="s">
        <v>365</v>
      </c>
      <c r="E73" s="26" t="s">
        <v>366</v>
      </c>
      <c r="F73" s="27" t="s">
        <v>100</v>
      </c>
      <c r="G73" s="28" t="s">
        <v>315</v>
      </c>
      <c r="H73" s="29" t="str">
        <f>VLOOKUP(G73,'[1]03. DAFTAR MAPEL'!$C$3:$E$68,2,FALSE)</f>
        <v>KIK TKR</v>
      </c>
      <c r="I73" s="30" t="s">
        <v>367</v>
      </c>
      <c r="J73" s="27">
        <v>0</v>
      </c>
      <c r="K73" s="27">
        <v>5</v>
      </c>
      <c r="L73" s="27">
        <v>5</v>
      </c>
      <c r="M73" s="27">
        <f>J73*4</f>
        <v>0</v>
      </c>
      <c r="N73" s="27">
        <f t="shared" si="53"/>
        <v>15</v>
      </c>
      <c r="O73" s="27">
        <f t="shared" si="53"/>
        <v>15</v>
      </c>
      <c r="P73" s="27">
        <f t="shared" si="50"/>
        <v>30</v>
      </c>
      <c r="Q73" s="27">
        <v>0</v>
      </c>
      <c r="R73" s="27">
        <v>15</v>
      </c>
      <c r="S73" s="27">
        <v>0</v>
      </c>
      <c r="T73" s="27">
        <f t="shared" si="51"/>
        <v>15</v>
      </c>
      <c r="U73" s="27" t="str">
        <f t="shared" si="52"/>
        <v>OK</v>
      </c>
      <c r="V73" s="27">
        <f t="shared" si="42"/>
        <v>0</v>
      </c>
      <c r="W73" s="27">
        <f t="shared" si="43"/>
        <v>15</v>
      </c>
      <c r="X73" s="27">
        <f t="shared" si="44"/>
        <v>0</v>
      </c>
      <c r="Y73" s="27">
        <f t="shared" si="45"/>
        <v>15</v>
      </c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>
        <v>5</v>
      </c>
      <c r="AO73" s="32">
        <v>5</v>
      </c>
      <c r="AP73" s="32">
        <v>5</v>
      </c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3"/>
      <c r="BK73" s="33"/>
      <c r="BL73" s="34"/>
      <c r="BM73" s="34"/>
      <c r="BN73" s="34"/>
      <c r="BO73" s="27"/>
      <c r="BP73" s="27"/>
    </row>
    <row r="74" spans="1:68" x14ac:dyDescent="0.3">
      <c r="A74" s="25">
        <v>72</v>
      </c>
      <c r="B74" s="26" t="s">
        <v>368</v>
      </c>
      <c r="C74" s="27" t="s">
        <v>369</v>
      </c>
      <c r="D74" s="28" t="s">
        <v>365</v>
      </c>
      <c r="E74" s="26" t="s">
        <v>366</v>
      </c>
      <c r="F74" s="27" t="s">
        <v>100</v>
      </c>
      <c r="G74" s="28" t="s">
        <v>179</v>
      </c>
      <c r="H74" s="29" t="str">
        <f>VLOOKUP(G74,'[1]03. DAFTAR MAPEL'!$C$3:$E$68,2,FALSE)</f>
        <v>MULOK XI</v>
      </c>
      <c r="I74" s="30" t="s">
        <v>367</v>
      </c>
      <c r="J74" s="27">
        <v>0</v>
      </c>
      <c r="K74" s="27">
        <v>2</v>
      </c>
      <c r="L74" s="27">
        <v>0</v>
      </c>
      <c r="M74" s="27">
        <f t="shared" si="53"/>
        <v>0</v>
      </c>
      <c r="N74" s="27">
        <f t="shared" si="53"/>
        <v>6</v>
      </c>
      <c r="O74" s="27">
        <f t="shared" si="53"/>
        <v>0</v>
      </c>
      <c r="P74" s="27">
        <f t="shared" si="50"/>
        <v>6</v>
      </c>
      <c r="Q74" s="27">
        <v>0</v>
      </c>
      <c r="R74" s="27">
        <v>10</v>
      </c>
      <c r="S74" s="27">
        <v>0</v>
      </c>
      <c r="T74" s="27">
        <f t="shared" si="51"/>
        <v>10</v>
      </c>
      <c r="U74" s="27" t="str">
        <f t="shared" si="52"/>
        <v>OK</v>
      </c>
      <c r="V74" s="27">
        <f t="shared" si="42"/>
        <v>0</v>
      </c>
      <c r="W74" s="27">
        <f t="shared" si="43"/>
        <v>10</v>
      </c>
      <c r="X74" s="27">
        <f t="shared" si="44"/>
        <v>0</v>
      </c>
      <c r="Y74" s="27">
        <f t="shared" si="45"/>
        <v>10</v>
      </c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>
        <v>2</v>
      </c>
      <c r="AO74" s="32">
        <v>2</v>
      </c>
      <c r="AP74" s="32">
        <v>2</v>
      </c>
      <c r="AQ74" s="32"/>
      <c r="AR74" s="32">
        <v>2</v>
      </c>
      <c r="AS74" s="32"/>
      <c r="AT74" s="32"/>
      <c r="AU74" s="32"/>
      <c r="AV74" s="32"/>
      <c r="AW74" s="32"/>
      <c r="AX74" s="32">
        <v>2</v>
      </c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3"/>
      <c r="BK74" s="33"/>
      <c r="BL74" s="34"/>
      <c r="BM74" s="34"/>
      <c r="BN74" s="34"/>
      <c r="BO74" s="27"/>
      <c r="BP74" s="27"/>
    </row>
    <row r="75" spans="1:68" x14ac:dyDescent="0.3">
      <c r="A75" s="25">
        <v>73</v>
      </c>
      <c r="B75" s="26" t="s">
        <v>370</v>
      </c>
      <c r="C75" s="27" t="s">
        <v>371</v>
      </c>
      <c r="D75" s="28" t="s">
        <v>372</v>
      </c>
      <c r="E75" s="26" t="str">
        <f>IFERROR(VLOOKUP($D75,[1]DUK!$B$2:$D$57,3,FALSE),"")</f>
        <v>197611122011011001</v>
      </c>
      <c r="F75" s="27" t="s">
        <v>135</v>
      </c>
      <c r="G75" s="28" t="s">
        <v>373</v>
      </c>
      <c r="H75" s="29" t="str">
        <f>VLOOKUP(G75,'[1]03. DAFTAR MAPEL'!$C$3:$E$68,2,FALSE)</f>
        <v>DPKJ</v>
      </c>
      <c r="I75" s="30" t="s">
        <v>374</v>
      </c>
      <c r="J75" s="27">
        <v>2</v>
      </c>
      <c r="K75" s="27">
        <v>0</v>
      </c>
      <c r="L75" s="27">
        <v>0</v>
      </c>
      <c r="M75" s="27">
        <f>J75*4</f>
        <v>8</v>
      </c>
      <c r="N75" s="27">
        <f t="shared" si="53"/>
        <v>0</v>
      </c>
      <c r="O75" s="27">
        <f t="shared" si="53"/>
        <v>0</v>
      </c>
      <c r="P75" s="27">
        <f t="shared" si="50"/>
        <v>8</v>
      </c>
      <c r="Q75" s="27">
        <v>8</v>
      </c>
      <c r="R75" s="27">
        <v>0</v>
      </c>
      <c r="S75" s="27">
        <v>0</v>
      </c>
      <c r="T75" s="27">
        <f t="shared" si="51"/>
        <v>8</v>
      </c>
      <c r="U75" s="27" t="str">
        <f t="shared" si="52"/>
        <v>OK</v>
      </c>
      <c r="V75" s="27">
        <f t="shared" si="42"/>
        <v>8</v>
      </c>
      <c r="W75" s="27">
        <f t="shared" si="43"/>
        <v>0</v>
      </c>
      <c r="X75" s="27">
        <f t="shared" si="44"/>
        <v>0</v>
      </c>
      <c r="Y75" s="27">
        <f t="shared" si="45"/>
        <v>8</v>
      </c>
      <c r="Z75" s="32"/>
      <c r="AA75" s="32"/>
      <c r="AB75" s="32"/>
      <c r="AC75" s="32"/>
      <c r="AD75" s="32">
        <v>2</v>
      </c>
      <c r="AE75" s="32">
        <v>2</v>
      </c>
      <c r="AF75" s="32">
        <v>2</v>
      </c>
      <c r="AG75" s="32">
        <v>2</v>
      </c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3" t="s">
        <v>375</v>
      </c>
      <c r="BK75" s="33"/>
      <c r="BL75" s="34"/>
      <c r="BM75" s="34"/>
      <c r="BN75" s="34"/>
      <c r="BO75" s="27"/>
      <c r="BP75" s="27"/>
    </row>
    <row r="76" spans="1:68" x14ac:dyDescent="0.3">
      <c r="A76" s="25">
        <v>74</v>
      </c>
      <c r="B76" s="26" t="s">
        <v>376</v>
      </c>
      <c r="C76" s="27" t="s">
        <v>377</v>
      </c>
      <c r="D76" s="28" t="s">
        <v>372</v>
      </c>
      <c r="E76" s="26" t="str">
        <f>IFERROR(VLOOKUP($D76,[1]DUK!$B$2:$D$57,3,FALSE),"")</f>
        <v>197611122011011001</v>
      </c>
      <c r="F76" s="27" t="s">
        <v>135</v>
      </c>
      <c r="G76" s="28" t="s">
        <v>378</v>
      </c>
      <c r="H76" s="29" t="str">
        <f>VLOOKUP(G76,'[1]03. DAFTAR MAPEL'!$C$3:$E$68,2,FALSE)</f>
        <v>MKTKJ</v>
      </c>
      <c r="I76" s="30" t="s">
        <v>374</v>
      </c>
      <c r="J76" s="27">
        <v>0</v>
      </c>
      <c r="K76" s="27">
        <v>4</v>
      </c>
      <c r="L76" s="27">
        <v>4</v>
      </c>
      <c r="M76" s="27">
        <f t="shared" ref="M76:M78" si="54">J76*4</f>
        <v>0</v>
      </c>
      <c r="N76" s="27">
        <f t="shared" si="53"/>
        <v>12</v>
      </c>
      <c r="O76" s="27">
        <f t="shared" si="53"/>
        <v>12</v>
      </c>
      <c r="P76" s="27">
        <f t="shared" si="50"/>
        <v>24</v>
      </c>
      <c r="Q76" s="27">
        <v>0</v>
      </c>
      <c r="R76" s="27">
        <v>0</v>
      </c>
      <c r="S76" s="27">
        <v>12</v>
      </c>
      <c r="T76" s="27">
        <f t="shared" si="51"/>
        <v>12</v>
      </c>
      <c r="U76" s="27" t="str">
        <f t="shared" si="52"/>
        <v>OK</v>
      </c>
      <c r="V76" s="27">
        <f t="shared" si="42"/>
        <v>0</v>
      </c>
      <c r="W76" s="27">
        <f t="shared" si="43"/>
        <v>0</v>
      </c>
      <c r="X76" s="27">
        <f t="shared" si="44"/>
        <v>12</v>
      </c>
      <c r="Y76" s="27">
        <f t="shared" si="45"/>
        <v>12</v>
      </c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>
        <v>4</v>
      </c>
      <c r="BC76" s="32">
        <v>4</v>
      </c>
      <c r="BD76" s="32">
        <v>4</v>
      </c>
      <c r="BE76" s="32"/>
      <c r="BF76" s="32"/>
      <c r="BG76" s="32"/>
      <c r="BH76" s="32"/>
      <c r="BI76" s="32"/>
      <c r="BJ76" s="33" t="s">
        <v>375</v>
      </c>
      <c r="BK76" s="33"/>
      <c r="BL76" s="34"/>
      <c r="BM76" s="34"/>
      <c r="BN76" s="34"/>
      <c r="BO76" s="27"/>
      <c r="BP76" s="27"/>
    </row>
    <row r="77" spans="1:68" x14ac:dyDescent="0.3">
      <c r="A77" s="25">
        <v>75</v>
      </c>
      <c r="B77" s="26" t="s">
        <v>379</v>
      </c>
      <c r="C77" s="27" t="s">
        <v>380</v>
      </c>
      <c r="D77" s="28" t="s">
        <v>372</v>
      </c>
      <c r="E77" s="26" t="str">
        <f>IFERROR(VLOOKUP($D77,[1]DUK!$B$2:$D$57,3,FALSE),"")</f>
        <v>197611122011011001</v>
      </c>
      <c r="F77" s="27" t="s">
        <v>135</v>
      </c>
      <c r="G77" s="28" t="s">
        <v>381</v>
      </c>
      <c r="H77" s="29" t="str">
        <f>VLOOKUP(G77,'[1]03. DAFTAR MAPEL'!$C$3:$E$68,2,FALSE)</f>
        <v>KIK TKJ</v>
      </c>
      <c r="I77" s="30" t="s">
        <v>374</v>
      </c>
      <c r="J77" s="27">
        <v>0</v>
      </c>
      <c r="K77" s="27">
        <v>5</v>
      </c>
      <c r="L77" s="27">
        <v>5</v>
      </c>
      <c r="M77" s="27">
        <f t="shared" si="54"/>
        <v>0</v>
      </c>
      <c r="N77" s="27">
        <f t="shared" si="53"/>
        <v>15</v>
      </c>
      <c r="O77" s="27">
        <f t="shared" si="53"/>
        <v>15</v>
      </c>
      <c r="P77" s="27">
        <f t="shared" si="50"/>
        <v>30</v>
      </c>
      <c r="Q77" s="27">
        <v>0</v>
      </c>
      <c r="R77" s="27">
        <v>0</v>
      </c>
      <c r="S77" s="27">
        <v>5</v>
      </c>
      <c r="T77" s="27">
        <f t="shared" si="51"/>
        <v>5</v>
      </c>
      <c r="U77" s="27" t="str">
        <f t="shared" si="52"/>
        <v>OK</v>
      </c>
      <c r="V77" s="27">
        <f t="shared" ref="V77:V78" si="55">SUM(Z77:AM77)</f>
        <v>0</v>
      </c>
      <c r="W77" s="27">
        <f t="shared" ref="W77:W78" si="56">SUM(AN77:AX77)</f>
        <v>0</v>
      </c>
      <c r="X77" s="27">
        <f t="shared" ref="X77:X78" si="57">SUM(AY77:BI77)</f>
        <v>5</v>
      </c>
      <c r="Y77" s="27">
        <f t="shared" ref="Y77:Y78" si="58">SUM(V77:X77)</f>
        <v>5</v>
      </c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>
        <v>5</v>
      </c>
      <c r="BC77" s="32"/>
      <c r="BD77" s="32"/>
      <c r="BE77" s="32"/>
      <c r="BF77" s="32"/>
      <c r="BG77" s="32"/>
      <c r="BH77" s="32"/>
      <c r="BI77" s="32"/>
      <c r="BJ77" s="33" t="s">
        <v>375</v>
      </c>
      <c r="BK77" s="33"/>
      <c r="BL77" s="34"/>
      <c r="BM77" s="34"/>
      <c r="BN77" s="34"/>
      <c r="BO77" s="27"/>
      <c r="BP77" s="27"/>
    </row>
    <row r="78" spans="1:68" x14ac:dyDescent="0.3">
      <c r="A78" s="25">
        <v>76</v>
      </c>
      <c r="B78" s="26" t="s">
        <v>382</v>
      </c>
      <c r="C78" s="27" t="s">
        <v>383</v>
      </c>
      <c r="D78" s="28" t="s">
        <v>372</v>
      </c>
      <c r="E78" s="26" t="str">
        <f>IFERROR(VLOOKUP($D78,[1]DUK!$B$2:$D$57,3,FALSE),"")</f>
        <v>197611122011011001</v>
      </c>
      <c r="F78" s="27" t="s">
        <v>135</v>
      </c>
      <c r="G78" s="28" t="s">
        <v>252</v>
      </c>
      <c r="H78" s="29" t="str">
        <f>VLOOKUP(G78,'[1]03. DAFTAR MAPEL'!$C$3:$E$68,2,FALSE)</f>
        <v>INFO</v>
      </c>
      <c r="I78" s="30" t="s">
        <v>374</v>
      </c>
      <c r="J78" s="27">
        <v>4</v>
      </c>
      <c r="K78" s="27">
        <v>0</v>
      </c>
      <c r="L78" s="27">
        <v>0</v>
      </c>
      <c r="M78" s="27">
        <f t="shared" si="54"/>
        <v>16</v>
      </c>
      <c r="N78" s="27">
        <f t="shared" si="53"/>
        <v>0</v>
      </c>
      <c r="O78" s="27">
        <f t="shared" si="53"/>
        <v>0</v>
      </c>
      <c r="P78" s="27">
        <f t="shared" si="50"/>
        <v>16</v>
      </c>
      <c r="Q78" s="27">
        <v>4</v>
      </c>
      <c r="R78" s="27">
        <v>0</v>
      </c>
      <c r="S78" s="27">
        <v>0</v>
      </c>
      <c r="T78" s="27">
        <f t="shared" si="51"/>
        <v>4</v>
      </c>
      <c r="U78" s="27" t="str">
        <f t="shared" si="52"/>
        <v>OK</v>
      </c>
      <c r="V78" s="27">
        <f t="shared" si="55"/>
        <v>4</v>
      </c>
      <c r="W78" s="27">
        <f t="shared" si="56"/>
        <v>0</v>
      </c>
      <c r="X78" s="27">
        <f t="shared" si="57"/>
        <v>0</v>
      </c>
      <c r="Y78" s="27">
        <f t="shared" si="58"/>
        <v>4</v>
      </c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>
        <v>4</v>
      </c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3" t="s">
        <v>375</v>
      </c>
      <c r="BK78" s="33"/>
      <c r="BL78" s="34"/>
      <c r="BM78" s="34"/>
      <c r="BN78" s="34"/>
      <c r="BO78" s="27"/>
      <c r="BP78" s="27"/>
    </row>
    <row r="79" spans="1:68" x14ac:dyDescent="0.3">
      <c r="A79" s="25">
        <v>77</v>
      </c>
      <c r="B79" s="26" t="s">
        <v>384</v>
      </c>
      <c r="C79" s="27" t="s">
        <v>385</v>
      </c>
      <c r="D79" s="28" t="s">
        <v>386</v>
      </c>
      <c r="E79" s="26" t="str">
        <f>IFERROR(VLOOKUP($D79,[1]DUK!$B$2:$D$57,3,FALSE),"")</f>
        <v>199004042020121011</v>
      </c>
      <c r="F79" s="27" t="s">
        <v>135</v>
      </c>
      <c r="G79" s="28" t="s">
        <v>387</v>
      </c>
      <c r="H79" s="29" t="str">
        <f>VLOOKUP(G79,'[1]03. DAFTAR MAPEL'!$C$3:$E$68,2,FALSE)</f>
        <v>DPKJ</v>
      </c>
      <c r="I79" s="30" t="s">
        <v>388</v>
      </c>
      <c r="J79" s="27">
        <v>2</v>
      </c>
      <c r="K79" s="27">
        <v>0</v>
      </c>
      <c r="L79" s="27">
        <v>0</v>
      </c>
      <c r="M79" s="27">
        <f>J79*4</f>
        <v>8</v>
      </c>
      <c r="N79" s="27">
        <f t="shared" si="53"/>
        <v>0</v>
      </c>
      <c r="O79" s="27">
        <f t="shared" si="53"/>
        <v>0</v>
      </c>
      <c r="P79" s="27">
        <f t="shared" si="50"/>
        <v>8</v>
      </c>
      <c r="Q79" s="27">
        <v>8</v>
      </c>
      <c r="R79" s="27">
        <v>0</v>
      </c>
      <c r="S79" s="27">
        <v>0</v>
      </c>
      <c r="T79" s="27">
        <f t="shared" si="51"/>
        <v>8</v>
      </c>
      <c r="U79" s="27" t="str">
        <f t="shared" si="52"/>
        <v>OK</v>
      </c>
      <c r="V79" s="27">
        <f t="shared" si="42"/>
        <v>8</v>
      </c>
      <c r="W79" s="27">
        <f t="shared" si="43"/>
        <v>0</v>
      </c>
      <c r="X79" s="27">
        <f t="shared" si="44"/>
        <v>0</v>
      </c>
      <c r="Y79" s="27">
        <f t="shared" si="45"/>
        <v>8</v>
      </c>
      <c r="Z79" s="32"/>
      <c r="AA79" s="32"/>
      <c r="AB79" s="32"/>
      <c r="AC79" s="32"/>
      <c r="AD79" s="32">
        <v>2</v>
      </c>
      <c r="AE79" s="32">
        <v>2</v>
      </c>
      <c r="AF79" s="32">
        <v>2</v>
      </c>
      <c r="AG79" s="32">
        <v>2</v>
      </c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3" t="s">
        <v>389</v>
      </c>
      <c r="BK79" s="33"/>
      <c r="BL79" s="34"/>
      <c r="BM79" s="34"/>
      <c r="BN79" s="34"/>
      <c r="BO79" s="27"/>
      <c r="BP79" s="27"/>
    </row>
    <row r="80" spans="1:68" x14ac:dyDescent="0.3">
      <c r="A80" s="25">
        <v>78</v>
      </c>
      <c r="B80" s="26" t="s">
        <v>390</v>
      </c>
      <c r="C80" s="27" t="s">
        <v>391</v>
      </c>
      <c r="D80" s="28" t="s">
        <v>386</v>
      </c>
      <c r="E80" s="26" t="str">
        <f>IFERROR(VLOOKUP($D80,[1]DUK!$B$2:$D$57,3,FALSE),"")</f>
        <v>199004042020121011</v>
      </c>
      <c r="F80" s="27" t="s">
        <v>135</v>
      </c>
      <c r="G80" s="28" t="s">
        <v>392</v>
      </c>
      <c r="H80" s="29" t="str">
        <f>VLOOKUP(G80,'[1]03. DAFTAR MAPEL'!$C$3:$E$68,2,FALSE)</f>
        <v>MKTKJ</v>
      </c>
      <c r="I80" s="30" t="s">
        <v>388</v>
      </c>
      <c r="J80" s="27">
        <v>0</v>
      </c>
      <c r="K80" s="27">
        <v>4</v>
      </c>
      <c r="L80" s="27">
        <v>0</v>
      </c>
      <c r="M80" s="27">
        <f t="shared" ref="M80:M110" si="59">J80*4</f>
        <v>0</v>
      </c>
      <c r="N80" s="27">
        <f t="shared" si="53"/>
        <v>12</v>
      </c>
      <c r="O80" s="27">
        <f t="shared" si="53"/>
        <v>0</v>
      </c>
      <c r="P80" s="27">
        <f t="shared" si="50"/>
        <v>12</v>
      </c>
      <c r="Q80" s="27">
        <v>0</v>
      </c>
      <c r="R80" s="27">
        <v>12</v>
      </c>
      <c r="S80" s="27">
        <v>0</v>
      </c>
      <c r="T80" s="27">
        <f t="shared" si="51"/>
        <v>12</v>
      </c>
      <c r="U80" s="27" t="str">
        <f t="shared" si="52"/>
        <v>OK</v>
      </c>
      <c r="V80" s="27">
        <f t="shared" si="42"/>
        <v>0</v>
      </c>
      <c r="W80" s="27">
        <f t="shared" si="43"/>
        <v>12</v>
      </c>
      <c r="X80" s="27">
        <f t="shared" si="44"/>
        <v>0</v>
      </c>
      <c r="Y80" s="27">
        <f t="shared" si="45"/>
        <v>12</v>
      </c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>
        <v>4</v>
      </c>
      <c r="AR80" s="32">
        <v>4</v>
      </c>
      <c r="AS80" s="32">
        <v>4</v>
      </c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3" t="s">
        <v>389</v>
      </c>
      <c r="BK80" s="33"/>
      <c r="BL80" s="34"/>
      <c r="BM80" s="34"/>
      <c r="BN80" s="34"/>
      <c r="BO80" s="27"/>
      <c r="BP80" s="27"/>
    </row>
    <row r="81" spans="1:68" x14ac:dyDescent="0.3">
      <c r="A81" s="25">
        <v>79</v>
      </c>
      <c r="B81" s="26" t="s">
        <v>393</v>
      </c>
      <c r="C81" s="27" t="s">
        <v>394</v>
      </c>
      <c r="D81" s="28" t="s">
        <v>386</v>
      </c>
      <c r="E81" s="26" t="str">
        <f>IFERROR(VLOOKUP($D81,[1]DUK!$B$2:$D$57,3,FALSE),"")</f>
        <v>199004042020121011</v>
      </c>
      <c r="F81" s="27" t="s">
        <v>135</v>
      </c>
      <c r="G81" s="28" t="s">
        <v>395</v>
      </c>
      <c r="H81" s="29" t="str">
        <f>VLOOKUP(G81,'[1]03. DAFTAR MAPEL'!$C$3:$E$68,2,FALSE)</f>
        <v>MKTKJ</v>
      </c>
      <c r="I81" s="30" t="s">
        <v>388</v>
      </c>
      <c r="J81" s="27">
        <v>0</v>
      </c>
      <c r="K81" s="27">
        <v>0</v>
      </c>
      <c r="L81" s="27">
        <v>3</v>
      </c>
      <c r="M81" s="27">
        <f t="shared" si="59"/>
        <v>0</v>
      </c>
      <c r="N81" s="27">
        <f t="shared" si="53"/>
        <v>0</v>
      </c>
      <c r="O81" s="27">
        <f t="shared" si="53"/>
        <v>9</v>
      </c>
      <c r="P81" s="27">
        <f t="shared" si="50"/>
        <v>9</v>
      </c>
      <c r="Q81" s="27">
        <v>0</v>
      </c>
      <c r="R81" s="27">
        <v>0</v>
      </c>
      <c r="S81" s="27">
        <v>9</v>
      </c>
      <c r="T81" s="27">
        <f t="shared" si="51"/>
        <v>9</v>
      </c>
      <c r="U81" s="27" t="str">
        <f t="shared" si="52"/>
        <v>OK</v>
      </c>
      <c r="V81" s="27">
        <f t="shared" si="42"/>
        <v>0</v>
      </c>
      <c r="W81" s="27">
        <f t="shared" si="43"/>
        <v>0</v>
      </c>
      <c r="X81" s="27">
        <f t="shared" si="44"/>
        <v>9</v>
      </c>
      <c r="Y81" s="27">
        <f t="shared" si="45"/>
        <v>9</v>
      </c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>
        <v>3</v>
      </c>
      <c r="BC81" s="32">
        <v>3</v>
      </c>
      <c r="BD81" s="32">
        <v>3</v>
      </c>
      <c r="BE81" s="32"/>
      <c r="BF81" s="32"/>
      <c r="BG81" s="32"/>
      <c r="BH81" s="32"/>
      <c r="BI81" s="32"/>
      <c r="BJ81" s="33" t="s">
        <v>389</v>
      </c>
      <c r="BK81" s="33"/>
      <c r="BL81" s="34"/>
      <c r="BM81" s="34"/>
      <c r="BN81" s="34"/>
      <c r="BO81" s="27"/>
      <c r="BP81" s="27"/>
    </row>
    <row r="82" spans="1:68" x14ac:dyDescent="0.3">
      <c r="A82" s="25">
        <v>80</v>
      </c>
      <c r="B82" s="26" t="s">
        <v>396</v>
      </c>
      <c r="C82" s="27" t="s">
        <v>397</v>
      </c>
      <c r="D82" s="28" t="s">
        <v>386</v>
      </c>
      <c r="E82" s="26" t="str">
        <f>IFERROR(VLOOKUP($D82,[1]DUK!$B$2:$D$57,3,FALSE),"")</f>
        <v>199004042020121011</v>
      </c>
      <c r="F82" s="27" t="s">
        <v>135</v>
      </c>
      <c r="G82" s="28" t="s">
        <v>398</v>
      </c>
      <c r="H82" s="29" t="str">
        <f>VLOOKUP(G82,'[1]03. DAFTAR MAPEL'!$C$3:$E$68,2,FALSE)</f>
        <v>MKDKV - XII</v>
      </c>
      <c r="I82" s="30" t="s">
        <v>388</v>
      </c>
      <c r="J82" s="27">
        <v>0</v>
      </c>
      <c r="K82" s="27">
        <v>0</v>
      </c>
      <c r="L82" s="27">
        <v>22</v>
      </c>
      <c r="M82" s="27">
        <f t="shared" si="59"/>
        <v>0</v>
      </c>
      <c r="N82" s="27">
        <f t="shared" si="53"/>
        <v>0</v>
      </c>
      <c r="O82" s="27">
        <f t="shared" si="53"/>
        <v>66</v>
      </c>
      <c r="P82" s="27">
        <f t="shared" si="50"/>
        <v>66</v>
      </c>
      <c r="Q82" s="27">
        <v>0</v>
      </c>
      <c r="R82" s="27">
        <v>0</v>
      </c>
      <c r="S82" s="27">
        <v>5</v>
      </c>
      <c r="T82" s="27">
        <f t="shared" si="51"/>
        <v>5</v>
      </c>
      <c r="U82" s="27" t="str">
        <f t="shared" si="52"/>
        <v>OK</v>
      </c>
      <c r="V82" s="27">
        <f t="shared" ref="V82:V85" si="60">SUM(Z82:AM82)</f>
        <v>0</v>
      </c>
      <c r="W82" s="27">
        <f t="shared" ref="W82:W85" si="61">SUM(AN82:AX82)</f>
        <v>0</v>
      </c>
      <c r="X82" s="27">
        <f t="shared" ref="X82:X85" si="62">SUM(AY82:BI82)</f>
        <v>5</v>
      </c>
      <c r="Y82" s="27">
        <f t="shared" ref="Y82:Y85" si="63">SUM(V82:X82)</f>
        <v>5</v>
      </c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>
        <v>5</v>
      </c>
      <c r="BH82" s="32"/>
      <c r="BI82" s="32"/>
      <c r="BJ82" s="33" t="s">
        <v>389</v>
      </c>
      <c r="BK82" s="33"/>
      <c r="BL82" s="34"/>
      <c r="BM82" s="34"/>
      <c r="BN82" s="34"/>
      <c r="BO82" s="27"/>
      <c r="BP82" s="27"/>
    </row>
    <row r="83" spans="1:68" x14ac:dyDescent="0.3">
      <c r="A83" s="25">
        <v>81</v>
      </c>
      <c r="B83" s="26" t="s">
        <v>399</v>
      </c>
      <c r="C83" s="27" t="s">
        <v>400</v>
      </c>
      <c r="D83" s="28" t="s">
        <v>401</v>
      </c>
      <c r="E83" s="26" t="str">
        <f>IFERROR(VLOOKUP($D83,[1]DUK!$B$2:$D$57,3,FALSE),"")</f>
        <v>197803122022211003</v>
      </c>
      <c r="F83" s="27" t="s">
        <v>67</v>
      </c>
      <c r="G83" s="28" t="s">
        <v>402</v>
      </c>
      <c r="H83" s="29" t="str">
        <f>VLOOKUP(G83,'[1]03. DAFTAR MAPEL'!$C$3:$E$68,2,FALSE)</f>
        <v>DPKJ</v>
      </c>
      <c r="I83" s="30" t="s">
        <v>403</v>
      </c>
      <c r="J83" s="27">
        <v>2</v>
      </c>
      <c r="K83" s="27">
        <v>0</v>
      </c>
      <c r="L83" s="27">
        <v>0</v>
      </c>
      <c r="M83" s="27">
        <f t="shared" si="59"/>
        <v>8</v>
      </c>
      <c r="N83" s="27">
        <f t="shared" si="53"/>
        <v>0</v>
      </c>
      <c r="O83" s="27">
        <f t="shared" si="53"/>
        <v>0</v>
      </c>
      <c r="P83" s="27">
        <f t="shared" si="50"/>
        <v>8</v>
      </c>
      <c r="Q83" s="27">
        <v>8</v>
      </c>
      <c r="R83" s="27">
        <v>0</v>
      </c>
      <c r="S83" s="27">
        <v>0</v>
      </c>
      <c r="T83" s="27">
        <f t="shared" si="51"/>
        <v>8</v>
      </c>
      <c r="U83" s="27" t="str">
        <f t="shared" si="52"/>
        <v>OK</v>
      </c>
      <c r="V83" s="27">
        <f t="shared" si="60"/>
        <v>8</v>
      </c>
      <c r="W83" s="27">
        <f t="shared" si="61"/>
        <v>0</v>
      </c>
      <c r="X83" s="27">
        <f t="shared" si="62"/>
        <v>0</v>
      </c>
      <c r="Y83" s="27">
        <f t="shared" si="63"/>
        <v>8</v>
      </c>
      <c r="Z83" s="32"/>
      <c r="AA83" s="32"/>
      <c r="AB83" s="32"/>
      <c r="AC83" s="32"/>
      <c r="AD83" s="32">
        <v>2</v>
      </c>
      <c r="AE83" s="32">
        <v>2</v>
      </c>
      <c r="AF83" s="32">
        <v>2</v>
      </c>
      <c r="AG83" s="32">
        <v>2</v>
      </c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3"/>
      <c r="BK83" s="33"/>
      <c r="BL83" s="34"/>
      <c r="BM83" s="34"/>
      <c r="BN83" s="34" t="s">
        <v>404</v>
      </c>
      <c r="BO83" s="27"/>
      <c r="BP83" s="27"/>
    </row>
    <row r="84" spans="1:68" x14ac:dyDescent="0.3">
      <c r="A84" s="25">
        <v>82</v>
      </c>
      <c r="B84" s="26" t="s">
        <v>405</v>
      </c>
      <c r="C84" s="27" t="s">
        <v>406</v>
      </c>
      <c r="D84" s="28" t="s">
        <v>401</v>
      </c>
      <c r="E84" s="26" t="str">
        <f>IFERROR(VLOOKUP($D84,[1]DUK!$B$2:$D$57,3,FALSE),"")</f>
        <v>197803122022211003</v>
      </c>
      <c r="F84" s="27" t="s">
        <v>67</v>
      </c>
      <c r="G84" s="28" t="s">
        <v>378</v>
      </c>
      <c r="H84" s="29" t="str">
        <f>VLOOKUP(G84,'[1]03. DAFTAR MAPEL'!$C$3:$E$68,2,FALSE)</f>
        <v>MKTKJ</v>
      </c>
      <c r="I84" s="30" t="s">
        <v>403</v>
      </c>
      <c r="J84" s="27">
        <v>0</v>
      </c>
      <c r="K84" s="27">
        <v>4</v>
      </c>
      <c r="L84" s="27">
        <v>4</v>
      </c>
      <c r="M84" s="27">
        <f t="shared" si="59"/>
        <v>0</v>
      </c>
      <c r="N84" s="27">
        <f t="shared" si="53"/>
        <v>12</v>
      </c>
      <c r="O84" s="27">
        <f t="shared" si="53"/>
        <v>12</v>
      </c>
      <c r="P84" s="27">
        <f t="shared" si="50"/>
        <v>24</v>
      </c>
      <c r="Q84" s="27">
        <v>0</v>
      </c>
      <c r="R84" s="27">
        <v>12</v>
      </c>
      <c r="S84" s="27">
        <v>0</v>
      </c>
      <c r="T84" s="27">
        <f t="shared" si="51"/>
        <v>12</v>
      </c>
      <c r="U84" s="27" t="str">
        <f t="shared" si="52"/>
        <v>OK</v>
      </c>
      <c r="V84" s="27">
        <f t="shared" si="60"/>
        <v>0</v>
      </c>
      <c r="W84" s="27">
        <f t="shared" si="61"/>
        <v>12</v>
      </c>
      <c r="X84" s="27">
        <f t="shared" si="62"/>
        <v>0</v>
      </c>
      <c r="Y84" s="27">
        <f t="shared" si="63"/>
        <v>12</v>
      </c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>
        <v>4</v>
      </c>
      <c r="AR84" s="32">
        <v>4</v>
      </c>
      <c r="AS84" s="32">
        <v>4</v>
      </c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3"/>
      <c r="BK84" s="33"/>
      <c r="BL84" s="34"/>
      <c r="BM84" s="34"/>
      <c r="BN84" s="34" t="s">
        <v>404</v>
      </c>
      <c r="BO84" s="27"/>
      <c r="BP84" s="27"/>
    </row>
    <row r="85" spans="1:68" x14ac:dyDescent="0.3">
      <c r="A85" s="25">
        <v>83</v>
      </c>
      <c r="B85" s="26" t="s">
        <v>407</v>
      </c>
      <c r="C85" s="27" t="s">
        <v>408</v>
      </c>
      <c r="D85" s="28" t="s">
        <v>401</v>
      </c>
      <c r="E85" s="26" t="str">
        <f>IFERROR(VLOOKUP($D85,[1]DUK!$B$2:$D$57,3,FALSE),"")</f>
        <v>197803122022211003</v>
      </c>
      <c r="F85" s="27" t="s">
        <v>67</v>
      </c>
      <c r="G85" s="28" t="s">
        <v>409</v>
      </c>
      <c r="H85" s="29" t="str">
        <f>VLOOKUP(G85,'[1]03. DAFTAR MAPEL'!$C$3:$E$68,2,FALSE)</f>
        <v>MKTKJ</v>
      </c>
      <c r="I85" s="30" t="s">
        <v>403</v>
      </c>
      <c r="J85" s="27">
        <v>0</v>
      </c>
      <c r="K85" s="27">
        <v>0</v>
      </c>
      <c r="L85" s="27">
        <v>3</v>
      </c>
      <c r="M85" s="27">
        <f t="shared" si="59"/>
        <v>0</v>
      </c>
      <c r="N85" s="27">
        <f t="shared" si="53"/>
        <v>0</v>
      </c>
      <c r="O85" s="27">
        <f t="shared" si="53"/>
        <v>9</v>
      </c>
      <c r="P85" s="27">
        <f t="shared" si="50"/>
        <v>9</v>
      </c>
      <c r="Q85" s="27">
        <v>0</v>
      </c>
      <c r="R85" s="27">
        <v>0</v>
      </c>
      <c r="S85" s="27">
        <v>9</v>
      </c>
      <c r="T85" s="27">
        <f t="shared" si="51"/>
        <v>9</v>
      </c>
      <c r="U85" s="27" t="str">
        <f t="shared" si="52"/>
        <v>OK</v>
      </c>
      <c r="V85" s="27">
        <f t="shared" si="60"/>
        <v>0</v>
      </c>
      <c r="W85" s="27">
        <f t="shared" si="61"/>
        <v>0</v>
      </c>
      <c r="X85" s="27">
        <f t="shared" si="62"/>
        <v>9</v>
      </c>
      <c r="Y85" s="27">
        <f t="shared" si="63"/>
        <v>9</v>
      </c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>
        <v>3</v>
      </c>
      <c r="BC85" s="32">
        <v>3</v>
      </c>
      <c r="BD85" s="32">
        <v>3</v>
      </c>
      <c r="BE85" s="32"/>
      <c r="BF85" s="32"/>
      <c r="BG85" s="32"/>
      <c r="BH85" s="32"/>
      <c r="BI85" s="32"/>
      <c r="BJ85" s="33"/>
      <c r="BK85" s="33"/>
      <c r="BL85" s="34"/>
      <c r="BM85" s="34"/>
      <c r="BN85" s="34" t="s">
        <v>404</v>
      </c>
      <c r="BO85" s="27"/>
      <c r="BP85" s="27"/>
    </row>
    <row r="86" spans="1:68" x14ac:dyDescent="0.3">
      <c r="A86" s="25">
        <v>84</v>
      </c>
      <c r="B86" s="26" t="s">
        <v>410</v>
      </c>
      <c r="C86" s="27" t="s">
        <v>411</v>
      </c>
      <c r="D86" s="28" t="s">
        <v>412</v>
      </c>
      <c r="E86" s="26" t="str">
        <f>IFERROR(VLOOKUP($D86,[1]DUK!$B$2:$D$57,3,FALSE),"")</f>
        <v>198304122022212025</v>
      </c>
      <c r="F86" s="27" t="s">
        <v>67</v>
      </c>
      <c r="G86" s="28" t="s">
        <v>413</v>
      </c>
      <c r="H86" s="29" t="str">
        <f>VLOOKUP(G86,'[1]03. DAFTAR MAPEL'!$C$3:$E$68,2,FALSE)</f>
        <v>DPKJ</v>
      </c>
      <c r="I86" s="30" t="s">
        <v>414</v>
      </c>
      <c r="J86" s="27">
        <v>2</v>
      </c>
      <c r="K86" s="27">
        <v>0</v>
      </c>
      <c r="L86" s="27">
        <v>0</v>
      </c>
      <c r="M86" s="27">
        <f>J86*4</f>
        <v>8</v>
      </c>
      <c r="N86" s="27">
        <f t="shared" si="53"/>
        <v>0</v>
      </c>
      <c r="O86" s="27">
        <f t="shared" si="53"/>
        <v>0</v>
      </c>
      <c r="P86" s="27">
        <f>SUM(M86:O86)</f>
        <v>8</v>
      </c>
      <c r="Q86" s="27">
        <v>8</v>
      </c>
      <c r="R86" s="27">
        <v>0</v>
      </c>
      <c r="S86" s="27">
        <v>0</v>
      </c>
      <c r="T86" s="27">
        <f>SUM(Q86:S86)</f>
        <v>8</v>
      </c>
      <c r="U86" s="27" t="str">
        <f>IF(T86=Y86,"OK","CEK")</f>
        <v>OK</v>
      </c>
      <c r="V86" s="27">
        <f>SUM(Z86:AM86)</f>
        <v>8</v>
      </c>
      <c r="W86" s="27">
        <f>SUM(AN86:AX86)</f>
        <v>0</v>
      </c>
      <c r="X86" s="27">
        <f>SUM(AY86:BI86)</f>
        <v>0</v>
      </c>
      <c r="Y86" s="27">
        <f>SUM(V86:X86)</f>
        <v>8</v>
      </c>
      <c r="Z86" s="32"/>
      <c r="AA86" s="32"/>
      <c r="AB86" s="32"/>
      <c r="AC86" s="32"/>
      <c r="AD86" s="32">
        <v>2</v>
      </c>
      <c r="AE86" s="32">
        <v>2</v>
      </c>
      <c r="AF86" s="32">
        <v>2</v>
      </c>
      <c r="AG86" s="32">
        <v>2</v>
      </c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3"/>
      <c r="BK86" s="33" t="s">
        <v>415</v>
      </c>
      <c r="BL86" s="34"/>
      <c r="BM86" s="34"/>
      <c r="BN86" s="34"/>
      <c r="BO86" s="27"/>
      <c r="BP86" s="27"/>
    </row>
    <row r="87" spans="1:68" x14ac:dyDescent="0.3">
      <c r="A87" s="25">
        <v>85</v>
      </c>
      <c r="B87" s="26" t="s">
        <v>416</v>
      </c>
      <c r="C87" s="27" t="s">
        <v>417</v>
      </c>
      <c r="D87" s="28" t="s">
        <v>412</v>
      </c>
      <c r="E87" s="26" t="str">
        <f>IFERROR(VLOOKUP($D87,[1]DUK!$B$2:$D$57,3,FALSE),"")</f>
        <v>198304122022212025</v>
      </c>
      <c r="F87" s="27" t="s">
        <v>67</v>
      </c>
      <c r="G87" s="28" t="s">
        <v>418</v>
      </c>
      <c r="H87" s="29" t="str">
        <f>VLOOKUP(G87,'[1]03. DAFTAR MAPEL'!$C$3:$E$68,2,FALSE)</f>
        <v>MKTKJ</v>
      </c>
      <c r="I87" s="30" t="s">
        <v>414</v>
      </c>
      <c r="J87" s="27">
        <v>0</v>
      </c>
      <c r="K87" s="27">
        <v>4</v>
      </c>
      <c r="L87" s="27">
        <v>4</v>
      </c>
      <c r="M87" s="27">
        <f>J87*4</f>
        <v>0</v>
      </c>
      <c r="N87" s="27">
        <f t="shared" si="53"/>
        <v>12</v>
      </c>
      <c r="O87" s="27">
        <f t="shared" si="53"/>
        <v>12</v>
      </c>
      <c r="P87" s="27">
        <f>SUM(M87:O87)</f>
        <v>24</v>
      </c>
      <c r="Q87" s="27">
        <v>0</v>
      </c>
      <c r="R87" s="27">
        <v>12</v>
      </c>
      <c r="S87" s="27">
        <v>12</v>
      </c>
      <c r="T87" s="27">
        <f>SUM(Q87:S87)</f>
        <v>24</v>
      </c>
      <c r="U87" s="27" t="str">
        <f>IF(T87=Y87,"OK","CEK")</f>
        <v>OK</v>
      </c>
      <c r="V87" s="27">
        <f t="shared" ref="V87:V88" si="64">SUM(Z87:AM87)</f>
        <v>0</v>
      </c>
      <c r="W87" s="27">
        <f t="shared" ref="W87:W88" si="65">SUM(AN87:AX87)</f>
        <v>12</v>
      </c>
      <c r="X87" s="27">
        <f t="shared" ref="X87:X88" si="66">SUM(AY87:BI87)</f>
        <v>12</v>
      </c>
      <c r="Y87" s="27">
        <f t="shared" ref="Y87:Y88" si="67">SUM(V87:X87)</f>
        <v>24</v>
      </c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>
        <v>4</v>
      </c>
      <c r="AR87" s="32">
        <v>4</v>
      </c>
      <c r="AS87" s="32">
        <v>4</v>
      </c>
      <c r="AT87" s="32"/>
      <c r="AU87" s="32"/>
      <c r="AV87" s="32"/>
      <c r="AW87" s="32"/>
      <c r="AX87" s="32"/>
      <c r="AY87" s="32"/>
      <c r="AZ87" s="32"/>
      <c r="BA87" s="32"/>
      <c r="BB87" s="32">
        <v>4</v>
      </c>
      <c r="BC87" s="32">
        <v>4</v>
      </c>
      <c r="BD87" s="32">
        <v>4</v>
      </c>
      <c r="BE87" s="32"/>
      <c r="BF87" s="32"/>
      <c r="BG87" s="32"/>
      <c r="BH87" s="32"/>
      <c r="BI87" s="32"/>
      <c r="BJ87" s="33"/>
      <c r="BK87" s="33" t="s">
        <v>415</v>
      </c>
      <c r="BL87" s="34"/>
      <c r="BM87" s="34"/>
      <c r="BN87" s="34"/>
      <c r="BO87" s="27"/>
      <c r="BP87" s="27"/>
    </row>
    <row r="88" spans="1:68" x14ac:dyDescent="0.3">
      <c r="A88" s="25">
        <v>86</v>
      </c>
      <c r="B88" s="26" t="s">
        <v>419</v>
      </c>
      <c r="C88" s="27" t="s">
        <v>420</v>
      </c>
      <c r="D88" s="28" t="s">
        <v>412</v>
      </c>
      <c r="E88" s="26" t="str">
        <f>IFERROR(VLOOKUP($D88,[1]DUK!$B$2:$D$57,3,FALSE),"")</f>
        <v>198304122022212025</v>
      </c>
      <c r="F88" s="27" t="s">
        <v>67</v>
      </c>
      <c r="G88" s="28" t="s">
        <v>252</v>
      </c>
      <c r="H88" s="29" t="str">
        <f>VLOOKUP(G88,'[1]03. DAFTAR MAPEL'!$C$3:$E$68,2,FALSE)</f>
        <v>INFO</v>
      </c>
      <c r="I88" s="30" t="s">
        <v>414</v>
      </c>
      <c r="J88" s="27">
        <v>4</v>
      </c>
      <c r="K88" s="27">
        <v>0</v>
      </c>
      <c r="L88" s="27">
        <v>0</v>
      </c>
      <c r="M88" s="27">
        <f>J88*4</f>
        <v>16</v>
      </c>
      <c r="N88" s="27">
        <f t="shared" si="53"/>
        <v>0</v>
      </c>
      <c r="O88" s="27">
        <f t="shared" si="53"/>
        <v>0</v>
      </c>
      <c r="P88" s="27">
        <f>SUM(M88:O88)</f>
        <v>16</v>
      </c>
      <c r="Q88" s="27">
        <v>4</v>
      </c>
      <c r="R88" s="27">
        <v>0</v>
      </c>
      <c r="S88" s="27">
        <v>0</v>
      </c>
      <c r="T88" s="27">
        <f>SUM(Q88:S88)</f>
        <v>4</v>
      </c>
      <c r="U88" s="27" t="str">
        <f>IF(T88=Y88,"OK","CEK")</f>
        <v>OK</v>
      </c>
      <c r="V88" s="27">
        <f t="shared" si="64"/>
        <v>4</v>
      </c>
      <c r="W88" s="27">
        <f t="shared" si="65"/>
        <v>0</v>
      </c>
      <c r="X88" s="27">
        <f t="shared" si="66"/>
        <v>0</v>
      </c>
      <c r="Y88" s="27">
        <f t="shared" si="67"/>
        <v>4</v>
      </c>
      <c r="Z88" s="32"/>
      <c r="AA88" s="32"/>
      <c r="AB88" s="32"/>
      <c r="AC88" s="32"/>
      <c r="AD88" s="32"/>
      <c r="AE88" s="32"/>
      <c r="AF88" s="32">
        <v>4</v>
      </c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3"/>
      <c r="BK88" s="33" t="s">
        <v>415</v>
      </c>
      <c r="BL88" s="34"/>
      <c r="BM88" s="34"/>
      <c r="BN88" s="34"/>
      <c r="BO88" s="27"/>
      <c r="BP88" s="27"/>
    </row>
    <row r="89" spans="1:68" x14ac:dyDescent="0.3">
      <c r="A89" s="25">
        <v>87</v>
      </c>
      <c r="B89" s="26" t="s">
        <v>421</v>
      </c>
      <c r="C89" s="27" t="s">
        <v>422</v>
      </c>
      <c r="D89" s="28" t="s">
        <v>423</v>
      </c>
      <c r="E89" s="26" t="str">
        <f>IFERROR(VLOOKUP($D89,[1]DUK!$B$2:$D$57,3,FALSE),"")</f>
        <v>198202232022211013</v>
      </c>
      <c r="F89" s="27" t="s">
        <v>67</v>
      </c>
      <c r="G89" s="28" t="s">
        <v>424</v>
      </c>
      <c r="H89" s="29" t="str">
        <f>VLOOKUP(G89,'[1]03. DAFTAR MAPEL'!$C$3:$E$68,2,FALSE)</f>
        <v>DPKJ</v>
      </c>
      <c r="I89" s="30" t="s">
        <v>425</v>
      </c>
      <c r="J89" s="27">
        <v>2</v>
      </c>
      <c r="K89" s="27">
        <v>0</v>
      </c>
      <c r="L89" s="27">
        <v>0</v>
      </c>
      <c r="M89" s="27">
        <f t="shared" si="59"/>
        <v>8</v>
      </c>
      <c r="N89" s="27">
        <f t="shared" si="53"/>
        <v>0</v>
      </c>
      <c r="O89" s="27">
        <f t="shared" si="53"/>
        <v>0</v>
      </c>
      <c r="P89" s="27">
        <f t="shared" si="50"/>
        <v>8</v>
      </c>
      <c r="Q89" s="27">
        <v>8</v>
      </c>
      <c r="R89" s="27">
        <v>0</v>
      </c>
      <c r="S89" s="27">
        <v>0</v>
      </c>
      <c r="T89" s="27">
        <f t="shared" si="51"/>
        <v>8</v>
      </c>
      <c r="U89" s="27" t="str">
        <f t="shared" si="52"/>
        <v>OK</v>
      </c>
      <c r="V89" s="27">
        <f t="shared" si="42"/>
        <v>8</v>
      </c>
      <c r="W89" s="27">
        <f t="shared" si="43"/>
        <v>0</v>
      </c>
      <c r="X89" s="27">
        <f t="shared" si="44"/>
        <v>0</v>
      </c>
      <c r="Y89" s="27">
        <f t="shared" si="45"/>
        <v>8</v>
      </c>
      <c r="Z89" s="32"/>
      <c r="AA89" s="32"/>
      <c r="AB89" s="32"/>
      <c r="AC89" s="32"/>
      <c r="AD89" s="32">
        <v>2</v>
      </c>
      <c r="AE89" s="32">
        <v>2</v>
      </c>
      <c r="AF89" s="32">
        <v>2</v>
      </c>
      <c r="AG89" s="32">
        <v>2</v>
      </c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3" t="s">
        <v>157</v>
      </c>
      <c r="BK89" s="33" t="s">
        <v>426</v>
      </c>
      <c r="BL89" s="34"/>
      <c r="BM89" s="34"/>
      <c r="BN89" s="34"/>
      <c r="BO89" s="27"/>
      <c r="BP89" s="27"/>
    </row>
    <row r="90" spans="1:68" x14ac:dyDescent="0.3">
      <c r="A90" s="25">
        <v>88</v>
      </c>
      <c r="B90" s="26" t="s">
        <v>427</v>
      </c>
      <c r="C90" s="27" t="s">
        <v>428</v>
      </c>
      <c r="D90" s="28" t="s">
        <v>423</v>
      </c>
      <c r="E90" s="26" t="str">
        <f>IFERROR(VLOOKUP($D90,[1]DUK!$B$2:$D$57,3,FALSE),"")</f>
        <v>198202232022211013</v>
      </c>
      <c r="F90" s="27" t="s">
        <v>67</v>
      </c>
      <c r="G90" s="28" t="s">
        <v>429</v>
      </c>
      <c r="H90" s="29" t="str">
        <f>VLOOKUP(G90,'[1]03. DAFTAR MAPEL'!$C$3:$E$68,2,FALSE)</f>
        <v>MKTKJ</v>
      </c>
      <c r="I90" s="30" t="s">
        <v>425</v>
      </c>
      <c r="J90" s="27">
        <v>0</v>
      </c>
      <c r="K90" s="27">
        <v>4</v>
      </c>
      <c r="L90" s="27">
        <v>0</v>
      </c>
      <c r="M90" s="27">
        <f t="shared" si="59"/>
        <v>0</v>
      </c>
      <c r="N90" s="27">
        <f t="shared" si="53"/>
        <v>12</v>
      </c>
      <c r="O90" s="27">
        <f t="shared" si="53"/>
        <v>0</v>
      </c>
      <c r="P90" s="27">
        <f t="shared" si="50"/>
        <v>12</v>
      </c>
      <c r="Q90" s="27">
        <v>0</v>
      </c>
      <c r="R90" s="27">
        <v>12</v>
      </c>
      <c r="S90" s="27">
        <v>0</v>
      </c>
      <c r="T90" s="27">
        <f t="shared" si="51"/>
        <v>12</v>
      </c>
      <c r="U90" s="27" t="str">
        <f t="shared" si="52"/>
        <v>OK</v>
      </c>
      <c r="V90" s="27">
        <f t="shared" si="42"/>
        <v>0</v>
      </c>
      <c r="W90" s="27">
        <f t="shared" si="43"/>
        <v>12</v>
      </c>
      <c r="X90" s="27">
        <f t="shared" si="44"/>
        <v>0</v>
      </c>
      <c r="Y90" s="27">
        <f t="shared" si="45"/>
        <v>12</v>
      </c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>
        <v>4</v>
      </c>
      <c r="AR90" s="32">
        <v>4</v>
      </c>
      <c r="AS90" s="32">
        <v>4</v>
      </c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3" t="s">
        <v>157</v>
      </c>
      <c r="BK90" s="33" t="s">
        <v>426</v>
      </c>
      <c r="BL90" s="34"/>
      <c r="BM90" s="34"/>
      <c r="BN90" s="34"/>
      <c r="BO90" s="27"/>
      <c r="BP90" s="27"/>
    </row>
    <row r="91" spans="1:68" x14ac:dyDescent="0.3">
      <c r="A91" s="25">
        <v>89</v>
      </c>
      <c r="B91" s="26" t="s">
        <v>430</v>
      </c>
      <c r="C91" s="27" t="s">
        <v>431</v>
      </c>
      <c r="D91" s="28" t="s">
        <v>423</v>
      </c>
      <c r="E91" s="26" t="str">
        <f>IFERROR(VLOOKUP($D91,[1]DUK!$B$2:$D$57,3,FALSE),"")</f>
        <v>198202232022211013</v>
      </c>
      <c r="F91" s="27" t="s">
        <v>67</v>
      </c>
      <c r="G91" s="28" t="s">
        <v>432</v>
      </c>
      <c r="H91" s="29" t="str">
        <f>VLOOKUP(G91,'[1]03. DAFTAR MAPEL'!$C$3:$E$68,2,FALSE)</f>
        <v>MKTKJ</v>
      </c>
      <c r="I91" s="30" t="s">
        <v>425</v>
      </c>
      <c r="J91" s="27">
        <v>0</v>
      </c>
      <c r="K91" s="27">
        <v>0</v>
      </c>
      <c r="L91" s="27">
        <v>4</v>
      </c>
      <c r="M91" s="27">
        <f t="shared" si="59"/>
        <v>0</v>
      </c>
      <c r="N91" s="27">
        <f t="shared" si="53"/>
        <v>0</v>
      </c>
      <c r="O91" s="27">
        <f t="shared" si="53"/>
        <v>12</v>
      </c>
      <c r="P91" s="27">
        <f t="shared" si="50"/>
        <v>12</v>
      </c>
      <c r="Q91" s="27">
        <v>0</v>
      </c>
      <c r="R91" s="27">
        <v>0</v>
      </c>
      <c r="S91" s="27">
        <v>12</v>
      </c>
      <c r="T91" s="27">
        <f t="shared" si="51"/>
        <v>12</v>
      </c>
      <c r="U91" s="27" t="str">
        <f t="shared" si="52"/>
        <v>OK</v>
      </c>
      <c r="V91" s="27">
        <f t="shared" si="42"/>
        <v>0</v>
      </c>
      <c r="W91" s="27">
        <f t="shared" si="43"/>
        <v>0</v>
      </c>
      <c r="X91" s="27">
        <f t="shared" si="44"/>
        <v>12</v>
      </c>
      <c r="Y91" s="27">
        <f t="shared" si="45"/>
        <v>12</v>
      </c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>
        <v>4</v>
      </c>
      <c r="BC91" s="32">
        <v>4</v>
      </c>
      <c r="BD91" s="32">
        <v>4</v>
      </c>
      <c r="BE91" s="32"/>
      <c r="BF91" s="32"/>
      <c r="BG91" s="32"/>
      <c r="BH91" s="32"/>
      <c r="BI91" s="32"/>
      <c r="BJ91" s="33" t="s">
        <v>157</v>
      </c>
      <c r="BK91" s="33" t="s">
        <v>426</v>
      </c>
      <c r="BL91" s="34"/>
      <c r="BM91" s="34"/>
      <c r="BN91" s="34"/>
      <c r="BO91" s="27"/>
      <c r="BP91" s="27"/>
    </row>
    <row r="92" spans="1:68" x14ac:dyDescent="0.3">
      <c r="A92" s="25">
        <v>90</v>
      </c>
      <c r="B92" s="26" t="s">
        <v>433</v>
      </c>
      <c r="C92" s="27" t="s">
        <v>434</v>
      </c>
      <c r="D92" s="28" t="s">
        <v>435</v>
      </c>
      <c r="E92" s="26" t="str">
        <f>IFERROR(VLOOKUP($D92,[1]DUK!$B$2:$D$57,3,FALSE),"")</f>
        <v>198806102022211023</v>
      </c>
      <c r="F92" s="27" t="s">
        <v>67</v>
      </c>
      <c r="G92" s="28" t="s">
        <v>436</v>
      </c>
      <c r="H92" s="29" t="str">
        <f>VLOOKUP(G92,'[1]03. DAFTAR MAPEL'!$C$3:$E$68,2,FALSE)</f>
        <v>DPKJ</v>
      </c>
      <c r="I92" s="30" t="s">
        <v>437</v>
      </c>
      <c r="J92" s="27">
        <v>2</v>
      </c>
      <c r="K92" s="27">
        <v>0</v>
      </c>
      <c r="L92" s="27">
        <v>0</v>
      </c>
      <c r="M92" s="27">
        <f t="shared" si="59"/>
        <v>8</v>
      </c>
      <c r="N92" s="27">
        <f t="shared" si="53"/>
        <v>0</v>
      </c>
      <c r="O92" s="27">
        <f t="shared" si="53"/>
        <v>0</v>
      </c>
      <c r="P92" s="27">
        <f t="shared" si="50"/>
        <v>8</v>
      </c>
      <c r="Q92" s="27">
        <v>8</v>
      </c>
      <c r="R92" s="27">
        <v>0</v>
      </c>
      <c r="S92" s="27">
        <v>0</v>
      </c>
      <c r="T92" s="27">
        <f t="shared" si="51"/>
        <v>8</v>
      </c>
      <c r="U92" s="27" t="str">
        <f t="shared" si="52"/>
        <v>OK</v>
      </c>
      <c r="V92" s="27">
        <f t="shared" si="42"/>
        <v>8</v>
      </c>
      <c r="W92" s="27">
        <f t="shared" si="43"/>
        <v>0</v>
      </c>
      <c r="X92" s="27">
        <f t="shared" si="44"/>
        <v>0</v>
      </c>
      <c r="Y92" s="27">
        <f t="shared" si="45"/>
        <v>8</v>
      </c>
      <c r="Z92" s="32"/>
      <c r="AA92" s="32"/>
      <c r="AB92" s="32"/>
      <c r="AC92" s="32"/>
      <c r="AD92" s="32">
        <v>2</v>
      </c>
      <c r="AE92" s="32">
        <v>2</v>
      </c>
      <c r="AF92" s="32">
        <v>2</v>
      </c>
      <c r="AG92" s="32">
        <v>2</v>
      </c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3" t="s">
        <v>438</v>
      </c>
      <c r="BK92" s="33"/>
      <c r="BL92" s="34"/>
      <c r="BM92" s="34"/>
      <c r="BN92" s="34"/>
      <c r="BO92" s="27"/>
      <c r="BP92" s="27"/>
    </row>
    <row r="93" spans="1:68" x14ac:dyDescent="0.3">
      <c r="A93" s="25">
        <v>91</v>
      </c>
      <c r="B93" s="26" t="s">
        <v>439</v>
      </c>
      <c r="C93" s="27" t="s">
        <v>440</v>
      </c>
      <c r="D93" s="28" t="s">
        <v>435</v>
      </c>
      <c r="E93" s="26" t="str">
        <f>IFERROR(VLOOKUP($D93,[1]DUK!$B$2:$D$57,3,FALSE),"")</f>
        <v>198806102022211023</v>
      </c>
      <c r="F93" s="27" t="s">
        <v>67</v>
      </c>
      <c r="G93" s="28" t="s">
        <v>441</v>
      </c>
      <c r="H93" s="29" t="str">
        <f>VLOOKUP(G93,'[1]03. DAFTAR MAPEL'!$C$3:$E$68,2,FALSE)</f>
        <v>MKTKJ</v>
      </c>
      <c r="I93" s="30" t="s">
        <v>437</v>
      </c>
      <c r="J93" s="27">
        <v>0</v>
      </c>
      <c r="K93" s="27">
        <v>0</v>
      </c>
      <c r="L93" s="27">
        <v>4</v>
      </c>
      <c r="M93" s="27">
        <f t="shared" si="59"/>
        <v>0</v>
      </c>
      <c r="N93" s="27">
        <f t="shared" si="53"/>
        <v>0</v>
      </c>
      <c r="O93" s="27">
        <f t="shared" si="53"/>
        <v>12</v>
      </c>
      <c r="P93" s="27">
        <f t="shared" si="50"/>
        <v>12</v>
      </c>
      <c r="Q93" s="27">
        <v>0</v>
      </c>
      <c r="R93" s="27">
        <v>0</v>
      </c>
      <c r="S93" s="27">
        <v>12</v>
      </c>
      <c r="T93" s="27">
        <f t="shared" si="51"/>
        <v>12</v>
      </c>
      <c r="U93" s="27" t="str">
        <f t="shared" si="52"/>
        <v>OK</v>
      </c>
      <c r="V93" s="27">
        <f t="shared" si="42"/>
        <v>0</v>
      </c>
      <c r="W93" s="27">
        <f t="shared" si="43"/>
        <v>0</v>
      </c>
      <c r="X93" s="27">
        <f t="shared" si="44"/>
        <v>12</v>
      </c>
      <c r="Y93" s="27">
        <f t="shared" si="45"/>
        <v>12</v>
      </c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>
        <v>4</v>
      </c>
      <c r="BC93" s="32">
        <v>4</v>
      </c>
      <c r="BD93" s="32">
        <v>4</v>
      </c>
      <c r="BE93" s="32"/>
      <c r="BF93" s="32"/>
      <c r="BG93" s="32"/>
      <c r="BH93" s="32"/>
      <c r="BI93" s="32"/>
      <c r="BJ93" s="33" t="s">
        <v>438</v>
      </c>
      <c r="BK93" s="33"/>
      <c r="BL93" s="34"/>
      <c r="BM93" s="34"/>
      <c r="BN93" s="34"/>
      <c r="BO93" s="27"/>
      <c r="BP93" s="27"/>
    </row>
    <row r="94" spans="1:68" x14ac:dyDescent="0.3">
      <c r="A94" s="25">
        <v>92</v>
      </c>
      <c r="B94" s="26" t="s">
        <v>442</v>
      </c>
      <c r="C94" s="27" t="s">
        <v>443</v>
      </c>
      <c r="D94" s="28" t="s">
        <v>435</v>
      </c>
      <c r="E94" s="26" t="str">
        <f>IFERROR(VLOOKUP($D94,[1]DUK!$B$2:$D$57,3,FALSE),"")</f>
        <v>198806102022211023</v>
      </c>
      <c r="F94" s="27" t="s">
        <v>67</v>
      </c>
      <c r="G94" s="28" t="s">
        <v>381</v>
      </c>
      <c r="H94" s="29" t="str">
        <f>VLOOKUP(G94,'[1]03. DAFTAR MAPEL'!$C$3:$E$68,2,FALSE)</f>
        <v>KIK TKJ</v>
      </c>
      <c r="I94" s="30" t="s">
        <v>437</v>
      </c>
      <c r="J94" s="27">
        <v>0</v>
      </c>
      <c r="K94" s="27">
        <v>5</v>
      </c>
      <c r="L94" s="27">
        <v>5</v>
      </c>
      <c r="M94" s="27">
        <f t="shared" si="59"/>
        <v>0</v>
      </c>
      <c r="N94" s="27">
        <f t="shared" si="53"/>
        <v>15</v>
      </c>
      <c r="O94" s="27">
        <f t="shared" si="53"/>
        <v>15</v>
      </c>
      <c r="P94" s="27">
        <f t="shared" si="50"/>
        <v>30</v>
      </c>
      <c r="Q94" s="27">
        <v>0</v>
      </c>
      <c r="R94" s="27">
        <v>5</v>
      </c>
      <c r="S94" s="27">
        <v>0</v>
      </c>
      <c r="T94" s="27">
        <f t="shared" si="51"/>
        <v>5</v>
      </c>
      <c r="U94" s="27" t="str">
        <f t="shared" si="52"/>
        <v>OK</v>
      </c>
      <c r="V94" s="27">
        <f t="shared" si="42"/>
        <v>0</v>
      </c>
      <c r="W94" s="27">
        <f t="shared" si="43"/>
        <v>5</v>
      </c>
      <c r="X94" s="27">
        <f t="shared" si="44"/>
        <v>0</v>
      </c>
      <c r="Y94" s="27">
        <f t="shared" si="45"/>
        <v>5</v>
      </c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>
        <v>5</v>
      </c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3" t="s">
        <v>438</v>
      </c>
      <c r="BK94" s="33"/>
      <c r="BL94" s="34"/>
      <c r="BM94" s="34"/>
      <c r="BN94" s="34"/>
      <c r="BO94" s="27"/>
      <c r="BP94" s="27"/>
    </row>
    <row r="95" spans="1:68" x14ac:dyDescent="0.3">
      <c r="A95" s="25">
        <v>93</v>
      </c>
      <c r="B95" s="26" t="s">
        <v>444</v>
      </c>
      <c r="C95" s="27" t="s">
        <v>445</v>
      </c>
      <c r="D95" s="28" t="s">
        <v>446</v>
      </c>
      <c r="E95" s="26" t="str">
        <f>IFERROR(VLOOKUP($D95,[1]DUK!$B$2:$D$57,3,FALSE),"")</f>
        <v>199412172025211059</v>
      </c>
      <c r="F95" s="27" t="s">
        <v>100</v>
      </c>
      <c r="G95" s="28" t="s">
        <v>381</v>
      </c>
      <c r="H95" s="29" t="str">
        <f>VLOOKUP(G95,'[1]03. DAFTAR MAPEL'!$C$3:$E$68,2,FALSE)</f>
        <v>KIK TKJ</v>
      </c>
      <c r="I95" s="30" t="s">
        <v>447</v>
      </c>
      <c r="J95" s="27">
        <v>0</v>
      </c>
      <c r="K95" s="27">
        <v>5</v>
      </c>
      <c r="L95" s="27">
        <v>5</v>
      </c>
      <c r="M95" s="27">
        <f>J95*4</f>
        <v>0</v>
      </c>
      <c r="N95" s="27">
        <f>K95*3</f>
        <v>15</v>
      </c>
      <c r="O95" s="27">
        <f>L95*3</f>
        <v>15</v>
      </c>
      <c r="P95" s="27">
        <f>SUM(M95:O95)</f>
        <v>30</v>
      </c>
      <c r="Q95" s="27">
        <v>0</v>
      </c>
      <c r="R95" s="27">
        <v>10</v>
      </c>
      <c r="S95" s="27">
        <v>10</v>
      </c>
      <c r="T95" s="27">
        <f>SUM(Q95:S95)</f>
        <v>20</v>
      </c>
      <c r="U95" s="27" t="str">
        <f>IF(T95=Y95,"OK","CEK")</f>
        <v>OK</v>
      </c>
      <c r="V95" s="27">
        <f>SUM(Z95:AM95)</f>
        <v>0</v>
      </c>
      <c r="W95" s="27">
        <f>SUM(AN95:AX95)</f>
        <v>10</v>
      </c>
      <c r="X95" s="27">
        <f>SUM(AY95:BI95)</f>
        <v>10</v>
      </c>
      <c r="Y95" s="27">
        <f>SUM(V95:X95)</f>
        <v>20</v>
      </c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>
        <v>5</v>
      </c>
      <c r="AR95" s="32">
        <v>5</v>
      </c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>
        <v>5</v>
      </c>
      <c r="BD95" s="32">
        <v>5</v>
      </c>
      <c r="BE95" s="32"/>
      <c r="BF95" s="32"/>
      <c r="BG95" s="32"/>
      <c r="BH95" s="32"/>
      <c r="BI95" s="32"/>
      <c r="BJ95" s="33"/>
      <c r="BK95" s="33"/>
      <c r="BL95" s="34"/>
      <c r="BM95" s="34"/>
      <c r="BN95" s="34"/>
      <c r="BO95" s="27"/>
      <c r="BP95" s="27"/>
    </row>
    <row r="96" spans="1:68" x14ac:dyDescent="0.3">
      <c r="A96" s="25">
        <v>94</v>
      </c>
      <c r="B96" s="26" t="s">
        <v>448</v>
      </c>
      <c r="C96" s="27" t="s">
        <v>449</v>
      </c>
      <c r="D96" s="28" t="s">
        <v>446</v>
      </c>
      <c r="E96" s="26" t="str">
        <f>IFERROR(VLOOKUP($D96,[1]DUK!$B$2:$D$57,3,FALSE),"")</f>
        <v>199412172025211059</v>
      </c>
      <c r="F96" s="27" t="s">
        <v>100</v>
      </c>
      <c r="G96" s="28" t="s">
        <v>252</v>
      </c>
      <c r="H96" s="29" t="str">
        <f>VLOOKUP(G96,'[1]03. DAFTAR MAPEL'!$C$3:$E$68,2,FALSE)</f>
        <v>INFO</v>
      </c>
      <c r="I96" s="30" t="s">
        <v>447</v>
      </c>
      <c r="J96" s="27">
        <v>4</v>
      </c>
      <c r="K96" s="27">
        <v>0</v>
      </c>
      <c r="L96" s="27">
        <v>0</v>
      </c>
      <c r="M96" s="27">
        <f>J96*4</f>
        <v>16</v>
      </c>
      <c r="N96" s="27">
        <f>K96*3</f>
        <v>0</v>
      </c>
      <c r="O96" s="27">
        <f>L96*3</f>
        <v>0</v>
      </c>
      <c r="P96" s="27">
        <f>SUM(M96:O96)</f>
        <v>16</v>
      </c>
      <c r="Q96" s="27">
        <v>8</v>
      </c>
      <c r="R96" s="27">
        <v>0</v>
      </c>
      <c r="S96" s="27">
        <v>0</v>
      </c>
      <c r="T96" s="27">
        <f>SUM(Q96:S96)</f>
        <v>8</v>
      </c>
      <c r="U96" s="27" t="str">
        <f>IF(T96=Y96,"OK","CEK")</f>
        <v>OK</v>
      </c>
      <c r="V96" s="27">
        <f>SUM(Z96:AM96)</f>
        <v>8</v>
      </c>
      <c r="W96" s="27">
        <f>SUM(AN96:AX96)</f>
        <v>0</v>
      </c>
      <c r="X96" s="27">
        <f>SUM(AY96:BI96)</f>
        <v>0</v>
      </c>
      <c r="Y96" s="27">
        <f>SUM(V96:X96)</f>
        <v>8</v>
      </c>
      <c r="Z96" s="32"/>
      <c r="AA96" s="32"/>
      <c r="AB96" s="32"/>
      <c r="AC96" s="32">
        <v>4</v>
      </c>
      <c r="AD96" s="32"/>
      <c r="AE96" s="32"/>
      <c r="AF96" s="32"/>
      <c r="AG96" s="32"/>
      <c r="AH96" s="32"/>
      <c r="AI96" s="32"/>
      <c r="AJ96" s="32"/>
      <c r="AK96" s="32"/>
      <c r="AL96" s="32"/>
      <c r="AM96" s="32">
        <v>4</v>
      </c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3"/>
      <c r="BK96" s="33"/>
      <c r="BL96" s="34"/>
      <c r="BM96" s="34"/>
      <c r="BN96" s="34"/>
      <c r="BO96" s="27"/>
      <c r="BP96" s="27"/>
    </row>
    <row r="97" spans="1:68" x14ac:dyDescent="0.3">
      <c r="A97" s="25">
        <v>95</v>
      </c>
      <c r="B97" s="26" t="s">
        <v>450</v>
      </c>
      <c r="C97" s="27" t="s">
        <v>451</v>
      </c>
      <c r="D97" s="28" t="s">
        <v>452</v>
      </c>
      <c r="E97" s="26" t="str">
        <f>IFERROR(VLOOKUP($D97,[1]DUK!$B$2:$D$57,3,FALSE),"")</f>
        <v>197909022009021002</v>
      </c>
      <c r="F97" s="27" t="s">
        <v>135</v>
      </c>
      <c r="G97" s="28" t="s">
        <v>453</v>
      </c>
      <c r="H97" s="29" t="str">
        <f>VLOOKUP(G97,'[1]03. DAFTAR MAPEL'!$C$3:$E$68,2,FALSE)</f>
        <v>KIK DKV</v>
      </c>
      <c r="I97" s="30" t="s">
        <v>454</v>
      </c>
      <c r="J97" s="27">
        <v>0</v>
      </c>
      <c r="K97" s="27">
        <v>5</v>
      </c>
      <c r="L97" s="27">
        <v>5</v>
      </c>
      <c r="M97" s="27">
        <f t="shared" si="59"/>
        <v>0</v>
      </c>
      <c r="N97" s="27">
        <f t="shared" ref="N97:O110" si="68">K97*3</f>
        <v>15</v>
      </c>
      <c r="O97" s="27">
        <f t="shared" si="68"/>
        <v>15</v>
      </c>
      <c r="P97" s="27">
        <f t="shared" si="50"/>
        <v>30</v>
      </c>
      <c r="Q97" s="27">
        <v>0</v>
      </c>
      <c r="R97" s="27">
        <v>10</v>
      </c>
      <c r="S97" s="27">
        <v>15</v>
      </c>
      <c r="T97" s="27">
        <f t="shared" si="51"/>
        <v>25</v>
      </c>
      <c r="U97" s="27" t="str">
        <f t="shared" si="52"/>
        <v>OK</v>
      </c>
      <c r="V97" s="27">
        <f t="shared" si="42"/>
        <v>0</v>
      </c>
      <c r="W97" s="27">
        <f t="shared" si="43"/>
        <v>10</v>
      </c>
      <c r="X97" s="27">
        <f t="shared" si="44"/>
        <v>15</v>
      </c>
      <c r="Y97" s="27">
        <f t="shared" si="45"/>
        <v>25</v>
      </c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>
        <v>5</v>
      </c>
      <c r="AV97" s="32">
        <v>5</v>
      </c>
      <c r="AW97" s="32"/>
      <c r="AX97" s="32"/>
      <c r="AY97" s="32"/>
      <c r="AZ97" s="32"/>
      <c r="BA97" s="32"/>
      <c r="BB97" s="32"/>
      <c r="BC97" s="32"/>
      <c r="BD97" s="32"/>
      <c r="BE97" s="32">
        <v>5</v>
      </c>
      <c r="BF97" s="32">
        <v>5</v>
      </c>
      <c r="BG97" s="32">
        <v>5</v>
      </c>
      <c r="BH97" s="32"/>
      <c r="BI97" s="32"/>
      <c r="BJ97" s="33" t="s">
        <v>455</v>
      </c>
      <c r="BK97" s="33"/>
      <c r="BL97" s="34"/>
      <c r="BM97" s="34"/>
      <c r="BN97" s="34"/>
      <c r="BO97" s="27"/>
      <c r="BP97" s="27"/>
    </row>
    <row r="98" spans="1:68" x14ac:dyDescent="0.3">
      <c r="A98" s="25">
        <v>96</v>
      </c>
      <c r="B98" s="26" t="s">
        <v>456</v>
      </c>
      <c r="C98" s="27" t="s">
        <v>457</v>
      </c>
      <c r="D98" s="28" t="s">
        <v>458</v>
      </c>
      <c r="E98" s="26" t="str">
        <f>IFERROR(VLOOKUP($D98,[1]DUK!$B$2:$D$57,3,FALSE),"")</f>
        <v>198602052022211014</v>
      </c>
      <c r="F98" s="27" t="s">
        <v>67</v>
      </c>
      <c r="G98" s="28" t="s">
        <v>459</v>
      </c>
      <c r="H98" s="29" t="str">
        <f>VLOOKUP(G98,'[1]03. DAFTAR MAPEL'!$C$3:$E$68,2,FALSE)</f>
        <v>DPKV</v>
      </c>
      <c r="I98" s="30" t="s">
        <v>460</v>
      </c>
      <c r="J98" s="27">
        <v>12</v>
      </c>
      <c r="K98" s="27">
        <v>0</v>
      </c>
      <c r="L98" s="27">
        <v>0</v>
      </c>
      <c r="M98" s="27">
        <f t="shared" si="59"/>
        <v>48</v>
      </c>
      <c r="N98" s="27">
        <f t="shared" si="68"/>
        <v>0</v>
      </c>
      <c r="O98" s="27">
        <f t="shared" si="68"/>
        <v>0</v>
      </c>
      <c r="P98" s="27">
        <f t="shared" si="50"/>
        <v>48</v>
      </c>
      <c r="Q98" s="27">
        <v>16</v>
      </c>
      <c r="R98" s="27">
        <v>0</v>
      </c>
      <c r="S98" s="27">
        <v>0</v>
      </c>
      <c r="T98" s="27">
        <f t="shared" si="51"/>
        <v>16</v>
      </c>
      <c r="U98" s="27" t="str">
        <f t="shared" si="52"/>
        <v>OK</v>
      </c>
      <c r="V98" s="27">
        <f t="shared" si="42"/>
        <v>16</v>
      </c>
      <c r="W98" s="27">
        <f t="shared" si="43"/>
        <v>0</v>
      </c>
      <c r="X98" s="27">
        <f t="shared" si="44"/>
        <v>0</v>
      </c>
      <c r="Y98" s="27">
        <f t="shared" si="45"/>
        <v>16</v>
      </c>
      <c r="Z98" s="32"/>
      <c r="AA98" s="32"/>
      <c r="AB98" s="32"/>
      <c r="AC98" s="32"/>
      <c r="AD98" s="32"/>
      <c r="AE98" s="32"/>
      <c r="AF98" s="32"/>
      <c r="AG98" s="32"/>
      <c r="AH98" s="32">
        <v>4</v>
      </c>
      <c r="AI98" s="32"/>
      <c r="AJ98" s="32">
        <v>8</v>
      </c>
      <c r="AK98" s="32">
        <v>4</v>
      </c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3" t="s">
        <v>461</v>
      </c>
      <c r="BK98" s="33"/>
      <c r="BL98" s="34"/>
      <c r="BM98" s="34"/>
      <c r="BN98" s="34"/>
      <c r="BO98" s="27"/>
      <c r="BP98" s="27"/>
    </row>
    <row r="99" spans="1:68" x14ac:dyDescent="0.3">
      <c r="A99" s="25">
        <v>97</v>
      </c>
      <c r="B99" s="26" t="s">
        <v>462</v>
      </c>
      <c r="C99" s="27" t="s">
        <v>463</v>
      </c>
      <c r="D99" s="28" t="s">
        <v>458</v>
      </c>
      <c r="E99" s="26" t="str">
        <f>IFERROR(VLOOKUP($D99,[1]DUK!$B$2:$D$57,3,FALSE),"")</f>
        <v>198602052022211014</v>
      </c>
      <c r="F99" s="27" t="s">
        <v>67</v>
      </c>
      <c r="G99" s="28" t="s">
        <v>398</v>
      </c>
      <c r="H99" s="29" t="str">
        <f>VLOOKUP(G99,'[1]03. DAFTAR MAPEL'!$C$3:$E$68,2,FALSE)</f>
        <v>MKDKV - XII</v>
      </c>
      <c r="I99" s="30" t="s">
        <v>460</v>
      </c>
      <c r="J99" s="27">
        <v>0</v>
      </c>
      <c r="K99" s="27">
        <v>0</v>
      </c>
      <c r="L99" s="27">
        <v>22</v>
      </c>
      <c r="M99" s="27">
        <f t="shared" si="59"/>
        <v>0</v>
      </c>
      <c r="N99" s="27">
        <f t="shared" si="68"/>
        <v>0</v>
      </c>
      <c r="O99" s="27">
        <f t="shared" si="68"/>
        <v>66</v>
      </c>
      <c r="P99" s="27">
        <f t="shared" si="50"/>
        <v>66</v>
      </c>
      <c r="Q99" s="27">
        <v>0</v>
      </c>
      <c r="R99" s="27">
        <v>0</v>
      </c>
      <c r="S99" s="27">
        <v>10</v>
      </c>
      <c r="T99" s="27">
        <f t="shared" si="51"/>
        <v>10</v>
      </c>
      <c r="U99" s="27" t="str">
        <f t="shared" si="52"/>
        <v>OK</v>
      </c>
      <c r="V99" s="27">
        <f t="shared" si="42"/>
        <v>0</v>
      </c>
      <c r="W99" s="27">
        <f t="shared" si="43"/>
        <v>0</v>
      </c>
      <c r="X99" s="27">
        <f t="shared" si="44"/>
        <v>10</v>
      </c>
      <c r="Y99" s="27">
        <f t="shared" si="45"/>
        <v>10</v>
      </c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>
        <v>10</v>
      </c>
      <c r="BF99" s="32"/>
      <c r="BG99" s="32"/>
      <c r="BH99" s="32"/>
      <c r="BI99" s="32"/>
      <c r="BJ99" s="33" t="s">
        <v>461</v>
      </c>
      <c r="BK99" s="33"/>
      <c r="BL99" s="34"/>
      <c r="BM99" s="34"/>
      <c r="BN99" s="34"/>
      <c r="BO99" s="27"/>
      <c r="BP99" s="27"/>
    </row>
    <row r="100" spans="1:68" ht="12.95" customHeight="1" x14ac:dyDescent="0.3">
      <c r="A100" s="25">
        <v>98</v>
      </c>
      <c r="B100" s="26" t="s">
        <v>464</v>
      </c>
      <c r="C100" s="27" t="s">
        <v>465</v>
      </c>
      <c r="D100" s="28" t="s">
        <v>466</v>
      </c>
      <c r="E100" s="26" t="str">
        <f>IFERROR(VLOOKUP($D100,[1]DUK!$B$2:$D$57,3,FALSE),"")</f>
        <v>199605222022212012</v>
      </c>
      <c r="F100" s="27" t="s">
        <v>67</v>
      </c>
      <c r="G100" s="28" t="s">
        <v>467</v>
      </c>
      <c r="H100" s="29" t="str">
        <f>VLOOKUP(G100,'[1]03. DAFTAR MAPEL'!$C$3:$E$68,2,FALSE)</f>
        <v>MKDKV - XI</v>
      </c>
      <c r="I100" s="30" t="s">
        <v>468</v>
      </c>
      <c r="J100" s="27">
        <v>0</v>
      </c>
      <c r="K100" s="27">
        <v>18</v>
      </c>
      <c r="L100" s="27">
        <v>0</v>
      </c>
      <c r="M100" s="27">
        <f t="shared" si="59"/>
        <v>0</v>
      </c>
      <c r="N100" s="27">
        <f t="shared" si="68"/>
        <v>54</v>
      </c>
      <c r="O100" s="27">
        <f t="shared" si="68"/>
        <v>0</v>
      </c>
      <c r="P100" s="27">
        <f t="shared" si="50"/>
        <v>54</v>
      </c>
      <c r="Q100" s="27">
        <v>0</v>
      </c>
      <c r="R100" s="27">
        <v>18</v>
      </c>
      <c r="S100" s="27">
        <v>0</v>
      </c>
      <c r="T100" s="27">
        <f t="shared" si="51"/>
        <v>18</v>
      </c>
      <c r="U100" s="27" t="str">
        <f t="shared" si="52"/>
        <v>OK</v>
      </c>
      <c r="V100" s="27">
        <f t="shared" si="42"/>
        <v>0</v>
      </c>
      <c r="W100" s="27">
        <f t="shared" si="43"/>
        <v>18</v>
      </c>
      <c r="X100" s="27">
        <f t="shared" si="44"/>
        <v>0</v>
      </c>
      <c r="Y100" s="27">
        <f t="shared" si="45"/>
        <v>18</v>
      </c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>
        <v>6</v>
      </c>
      <c r="AU100" s="32">
        <v>6</v>
      </c>
      <c r="AV100" s="32">
        <v>6</v>
      </c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3"/>
      <c r="BK100" s="33" t="s">
        <v>469</v>
      </c>
      <c r="BL100" s="34" t="s">
        <v>125</v>
      </c>
      <c r="BM100" s="34"/>
      <c r="BN100" s="34"/>
      <c r="BO100" s="27"/>
      <c r="BP100" s="27"/>
    </row>
    <row r="101" spans="1:68" ht="12.95" customHeight="1" x14ac:dyDescent="0.3">
      <c r="A101" s="25">
        <v>99</v>
      </c>
      <c r="B101" s="26" t="s">
        <v>470</v>
      </c>
      <c r="C101" s="27" t="s">
        <v>471</v>
      </c>
      <c r="D101" s="28" t="s">
        <v>466</v>
      </c>
      <c r="E101" s="26" t="str">
        <f>IFERROR(VLOOKUP($D101,[1]DUK!$B$2:$D$57,3,FALSE),"")</f>
        <v>199605222022212012</v>
      </c>
      <c r="F101" s="27" t="s">
        <v>67</v>
      </c>
      <c r="G101" s="28" t="s">
        <v>398</v>
      </c>
      <c r="H101" s="29" t="str">
        <f>VLOOKUP(G101,'[1]03. DAFTAR MAPEL'!$C$3:$E$68,2,FALSE)</f>
        <v>MKDKV - XII</v>
      </c>
      <c r="I101" s="30" t="s">
        <v>468</v>
      </c>
      <c r="J101" s="27">
        <v>0</v>
      </c>
      <c r="K101" s="27">
        <v>0</v>
      </c>
      <c r="L101" s="27">
        <v>22</v>
      </c>
      <c r="M101" s="27">
        <f t="shared" si="59"/>
        <v>0</v>
      </c>
      <c r="N101" s="27">
        <f t="shared" si="68"/>
        <v>0</v>
      </c>
      <c r="O101" s="27">
        <f t="shared" si="68"/>
        <v>66</v>
      </c>
      <c r="P101" s="27">
        <f t="shared" si="50"/>
        <v>66</v>
      </c>
      <c r="Q101" s="27">
        <v>0</v>
      </c>
      <c r="R101" s="27">
        <v>0</v>
      </c>
      <c r="S101" s="27">
        <v>12</v>
      </c>
      <c r="T101" s="27">
        <f t="shared" si="51"/>
        <v>12</v>
      </c>
      <c r="U101" s="27" t="str">
        <f t="shared" si="52"/>
        <v>OK</v>
      </c>
      <c r="V101" s="27">
        <f t="shared" ref="V101" si="69">SUM(Z101:AM101)</f>
        <v>0</v>
      </c>
      <c r="W101" s="27">
        <f t="shared" ref="W101" si="70">SUM(AN101:AX101)</f>
        <v>0</v>
      </c>
      <c r="X101" s="27">
        <f t="shared" ref="X101" si="71">SUM(AY101:BI101)</f>
        <v>12</v>
      </c>
      <c r="Y101" s="27">
        <f t="shared" ref="Y101" si="72">SUM(V101:X101)</f>
        <v>12</v>
      </c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>
        <v>12</v>
      </c>
      <c r="BF101" s="32"/>
      <c r="BG101" s="32"/>
      <c r="BH101" s="32"/>
      <c r="BI101" s="32"/>
      <c r="BJ101" s="33"/>
      <c r="BK101" s="33" t="s">
        <v>469</v>
      </c>
      <c r="BL101" s="34" t="s">
        <v>125</v>
      </c>
      <c r="BM101" s="34"/>
      <c r="BN101" s="34"/>
      <c r="BO101" s="27"/>
      <c r="BP101" s="27"/>
    </row>
    <row r="102" spans="1:68" ht="12.95" customHeight="1" x14ac:dyDescent="0.3">
      <c r="A102" s="25">
        <v>100</v>
      </c>
      <c r="B102" s="26" t="s">
        <v>472</v>
      </c>
      <c r="C102" s="27" t="s">
        <v>473</v>
      </c>
      <c r="D102" s="28" t="s">
        <v>466</v>
      </c>
      <c r="E102" s="26" t="str">
        <f>IFERROR(VLOOKUP($D102,[1]DUK!$B$2:$D$57,3,FALSE),"")</f>
        <v>199605222022212012</v>
      </c>
      <c r="F102" s="27" t="s">
        <v>67</v>
      </c>
      <c r="G102" s="28" t="s">
        <v>474</v>
      </c>
      <c r="H102" s="29" t="str">
        <f>VLOOKUP(G102,'[1]03. DAFTAR MAPEL'!$C$3:$E$68,2,FALSE)</f>
        <v>MKTKJ</v>
      </c>
      <c r="I102" s="30" t="s">
        <v>468</v>
      </c>
      <c r="J102" s="27">
        <v>0</v>
      </c>
      <c r="K102" s="27">
        <v>2</v>
      </c>
      <c r="L102" s="27">
        <v>0</v>
      </c>
      <c r="M102" s="27">
        <f t="shared" si="59"/>
        <v>0</v>
      </c>
      <c r="N102" s="27">
        <f t="shared" si="68"/>
        <v>6</v>
      </c>
      <c r="O102" s="27">
        <f t="shared" si="68"/>
        <v>0</v>
      </c>
      <c r="P102" s="27">
        <f t="shared" si="50"/>
        <v>6</v>
      </c>
      <c r="Q102" s="27">
        <v>0</v>
      </c>
      <c r="R102" s="27">
        <v>6</v>
      </c>
      <c r="S102" s="27">
        <v>0</v>
      </c>
      <c r="T102" s="27">
        <f t="shared" si="51"/>
        <v>6</v>
      </c>
      <c r="U102" s="27" t="str">
        <f t="shared" si="52"/>
        <v>OK</v>
      </c>
      <c r="V102" s="27">
        <f t="shared" ref="V102:V119" si="73">SUM(Z102:AM102)</f>
        <v>0</v>
      </c>
      <c r="W102" s="27">
        <f t="shared" ref="W102:W119" si="74">SUM(AN102:AX102)</f>
        <v>6</v>
      </c>
      <c r="X102" s="27">
        <f t="shared" ref="X102:X119" si="75">SUM(AY102:BI102)</f>
        <v>0</v>
      </c>
      <c r="Y102" s="27">
        <f t="shared" ref="Y102:Y119" si="76">SUM(V102:X102)</f>
        <v>6</v>
      </c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>
        <v>2</v>
      </c>
      <c r="AR102" s="32">
        <v>2</v>
      </c>
      <c r="AS102" s="32">
        <v>2</v>
      </c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3"/>
      <c r="BK102" s="33" t="s">
        <v>469</v>
      </c>
      <c r="BL102" s="34" t="s">
        <v>125</v>
      </c>
      <c r="BM102" s="34"/>
      <c r="BN102" s="34"/>
      <c r="BO102" s="27"/>
      <c r="BP102" s="27"/>
    </row>
    <row r="103" spans="1:68" ht="12.95" customHeight="1" x14ac:dyDescent="0.3">
      <c r="A103" s="25">
        <v>101</v>
      </c>
      <c r="B103" s="26" t="s">
        <v>475</v>
      </c>
      <c r="C103" s="27" t="s">
        <v>476</v>
      </c>
      <c r="D103" s="28" t="s">
        <v>477</v>
      </c>
      <c r="E103" s="26" t="str">
        <f>IFERROR(VLOOKUP($D103,[1]DUK!$B$2:$D$57,3,FALSE),"")</f>
        <v>199106012025212008</v>
      </c>
      <c r="F103" s="27" t="s">
        <v>67</v>
      </c>
      <c r="G103" s="28" t="s">
        <v>459</v>
      </c>
      <c r="H103" s="29" t="str">
        <f>VLOOKUP(G103,'[1]03. DAFTAR MAPEL'!$C$3:$E$68,2,FALSE)</f>
        <v>DPKV</v>
      </c>
      <c r="I103" s="30" t="s">
        <v>478</v>
      </c>
      <c r="J103" s="27">
        <v>12</v>
      </c>
      <c r="K103" s="27">
        <v>0</v>
      </c>
      <c r="L103" s="27">
        <v>0</v>
      </c>
      <c r="M103" s="27">
        <f t="shared" si="59"/>
        <v>48</v>
      </c>
      <c r="N103" s="27">
        <f t="shared" si="68"/>
        <v>0</v>
      </c>
      <c r="O103" s="27">
        <f t="shared" si="68"/>
        <v>0</v>
      </c>
      <c r="P103" s="27">
        <f t="shared" si="50"/>
        <v>48</v>
      </c>
      <c r="Q103" s="27">
        <v>16</v>
      </c>
      <c r="R103" s="27">
        <v>0</v>
      </c>
      <c r="S103" s="27">
        <v>0</v>
      </c>
      <c r="T103" s="27">
        <f t="shared" si="51"/>
        <v>16</v>
      </c>
      <c r="U103" s="27" t="str">
        <f t="shared" si="52"/>
        <v>OK</v>
      </c>
      <c r="V103" s="27">
        <f t="shared" si="73"/>
        <v>16</v>
      </c>
      <c r="W103" s="27">
        <f t="shared" si="74"/>
        <v>0</v>
      </c>
      <c r="X103" s="27">
        <f t="shared" si="75"/>
        <v>0</v>
      </c>
      <c r="Y103" s="27">
        <f t="shared" si="76"/>
        <v>16</v>
      </c>
      <c r="Z103" s="32"/>
      <c r="AA103" s="32"/>
      <c r="AB103" s="32"/>
      <c r="AC103" s="32"/>
      <c r="AD103" s="32"/>
      <c r="AE103" s="32"/>
      <c r="AF103" s="32"/>
      <c r="AG103" s="32"/>
      <c r="AH103" s="32">
        <v>4</v>
      </c>
      <c r="AI103" s="32">
        <v>4</v>
      </c>
      <c r="AJ103" s="32">
        <v>4</v>
      </c>
      <c r="AK103" s="32">
        <v>4</v>
      </c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3"/>
      <c r="BK103" s="33" t="s">
        <v>479</v>
      </c>
      <c r="BL103" s="34"/>
      <c r="BM103" s="34" t="s">
        <v>480</v>
      </c>
      <c r="BN103" s="34"/>
      <c r="BO103" s="27"/>
      <c r="BP103" s="27"/>
    </row>
    <row r="104" spans="1:68" ht="12.95" customHeight="1" x14ac:dyDescent="0.3">
      <c r="A104" s="25">
        <v>102</v>
      </c>
      <c r="B104" s="26" t="s">
        <v>481</v>
      </c>
      <c r="C104" s="27" t="s">
        <v>482</v>
      </c>
      <c r="D104" s="28" t="s">
        <v>477</v>
      </c>
      <c r="E104" s="26" t="str">
        <f>IFERROR(VLOOKUP($D104,[1]DUK!$B$2:$D$57,3,FALSE),"")</f>
        <v>199106012025212008</v>
      </c>
      <c r="F104" s="27" t="s">
        <v>67</v>
      </c>
      <c r="G104" s="28" t="s">
        <v>467</v>
      </c>
      <c r="H104" s="29" t="str">
        <f>VLOOKUP(G104,'[1]03. DAFTAR MAPEL'!$C$3:$E$68,2,FALSE)</f>
        <v>MKDKV - XI</v>
      </c>
      <c r="I104" s="30" t="s">
        <v>478</v>
      </c>
      <c r="J104" s="27">
        <v>0</v>
      </c>
      <c r="K104" s="27">
        <v>18</v>
      </c>
      <c r="L104" s="27">
        <v>0</v>
      </c>
      <c r="M104" s="27">
        <f t="shared" si="59"/>
        <v>0</v>
      </c>
      <c r="N104" s="27">
        <f t="shared" si="68"/>
        <v>54</v>
      </c>
      <c r="O104" s="27">
        <f t="shared" si="68"/>
        <v>0</v>
      </c>
      <c r="P104" s="27">
        <f t="shared" si="50"/>
        <v>54</v>
      </c>
      <c r="Q104" s="27">
        <v>0</v>
      </c>
      <c r="R104" s="27">
        <v>18</v>
      </c>
      <c r="S104" s="27">
        <v>0</v>
      </c>
      <c r="T104" s="27">
        <f t="shared" si="51"/>
        <v>18</v>
      </c>
      <c r="U104" s="27" t="str">
        <f t="shared" si="52"/>
        <v>OK</v>
      </c>
      <c r="V104" s="27">
        <f t="shared" ref="V104" si="77">SUM(Z104:AM104)</f>
        <v>0</v>
      </c>
      <c r="W104" s="27">
        <f t="shared" ref="W104" si="78">SUM(AN104:AX104)</f>
        <v>18</v>
      </c>
      <c r="X104" s="27">
        <f t="shared" ref="X104" si="79">SUM(AY104:BI104)</f>
        <v>0</v>
      </c>
      <c r="Y104" s="27">
        <f t="shared" ref="Y104" si="80">SUM(V104:X104)</f>
        <v>18</v>
      </c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>
        <v>6</v>
      </c>
      <c r="AU104" s="32">
        <v>6</v>
      </c>
      <c r="AV104" s="32">
        <v>6</v>
      </c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3"/>
      <c r="BK104" s="33" t="s">
        <v>479</v>
      </c>
      <c r="BL104" s="34"/>
      <c r="BM104" s="34" t="s">
        <v>480</v>
      </c>
      <c r="BN104" s="34"/>
      <c r="BO104" s="27"/>
      <c r="BP104" s="27"/>
    </row>
    <row r="105" spans="1:68" x14ac:dyDescent="0.3">
      <c r="A105" s="25">
        <v>103</v>
      </c>
      <c r="B105" s="26" t="s">
        <v>483</v>
      </c>
      <c r="C105" s="27" t="s">
        <v>484</v>
      </c>
      <c r="D105" s="28" t="s">
        <v>485</v>
      </c>
      <c r="E105" s="26" t="str">
        <f>IFERROR(VLOOKUP($D105,[1]DUK!$B$2:$D$57,3,FALSE),"")</f>
        <v>199004252025212105</v>
      </c>
      <c r="F105" s="27" t="s">
        <v>100</v>
      </c>
      <c r="G105" s="28" t="s">
        <v>467</v>
      </c>
      <c r="H105" s="29" t="str">
        <f>VLOOKUP(G105,'[1]03. DAFTAR MAPEL'!$C$3:$E$68,2,FALSE)</f>
        <v>MKDKV - XI</v>
      </c>
      <c r="I105" s="30" t="s">
        <v>486</v>
      </c>
      <c r="J105" s="27">
        <v>0</v>
      </c>
      <c r="K105" s="27">
        <v>18</v>
      </c>
      <c r="L105" s="27">
        <v>0</v>
      </c>
      <c r="M105" s="27">
        <f t="shared" si="59"/>
        <v>0</v>
      </c>
      <c r="N105" s="27">
        <f t="shared" si="68"/>
        <v>54</v>
      </c>
      <c r="O105" s="27">
        <f t="shared" si="68"/>
        <v>0</v>
      </c>
      <c r="P105" s="27">
        <f t="shared" si="50"/>
        <v>54</v>
      </c>
      <c r="Q105" s="27">
        <v>0</v>
      </c>
      <c r="R105" s="27">
        <v>18</v>
      </c>
      <c r="S105" s="27">
        <v>0</v>
      </c>
      <c r="T105" s="27">
        <f t="shared" si="51"/>
        <v>18</v>
      </c>
      <c r="U105" s="27" t="str">
        <f t="shared" si="52"/>
        <v>OK</v>
      </c>
      <c r="V105" s="27">
        <f t="shared" si="73"/>
        <v>0</v>
      </c>
      <c r="W105" s="27">
        <f t="shared" si="74"/>
        <v>18</v>
      </c>
      <c r="X105" s="27">
        <f t="shared" si="75"/>
        <v>0</v>
      </c>
      <c r="Y105" s="27">
        <f t="shared" si="76"/>
        <v>18</v>
      </c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>
        <v>6</v>
      </c>
      <c r="AU105" s="32">
        <v>6</v>
      </c>
      <c r="AV105" s="32">
        <v>6</v>
      </c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3"/>
      <c r="BK105" s="33" t="s">
        <v>487</v>
      </c>
      <c r="BL105" s="34" t="s">
        <v>125</v>
      </c>
      <c r="BM105" s="34"/>
      <c r="BN105" s="34"/>
      <c r="BO105" s="27"/>
      <c r="BP105" s="27"/>
    </row>
    <row r="106" spans="1:68" x14ac:dyDescent="0.3">
      <c r="A106" s="25">
        <v>104</v>
      </c>
      <c r="B106" s="26" t="s">
        <v>488</v>
      </c>
      <c r="C106" s="27" t="s">
        <v>489</v>
      </c>
      <c r="D106" s="28" t="s">
        <v>485</v>
      </c>
      <c r="E106" s="26" t="str">
        <f>IFERROR(VLOOKUP($D106,[1]DUK!$B$2:$D$57,3,FALSE),"")</f>
        <v>199004252025212105</v>
      </c>
      <c r="F106" s="27" t="s">
        <v>100</v>
      </c>
      <c r="G106" s="28" t="s">
        <v>398</v>
      </c>
      <c r="H106" s="29" t="str">
        <f>VLOOKUP(G106,'[1]03. DAFTAR MAPEL'!$C$3:$E$68,2,FALSE)</f>
        <v>MKDKV - XII</v>
      </c>
      <c r="I106" s="30" t="s">
        <v>486</v>
      </c>
      <c r="J106" s="27">
        <v>0</v>
      </c>
      <c r="K106" s="27">
        <v>0</v>
      </c>
      <c r="L106" s="27">
        <v>22</v>
      </c>
      <c r="M106" s="27">
        <f t="shared" si="59"/>
        <v>0</v>
      </c>
      <c r="N106" s="27">
        <f t="shared" si="68"/>
        <v>0</v>
      </c>
      <c r="O106" s="27">
        <f t="shared" si="68"/>
        <v>66</v>
      </c>
      <c r="P106" s="27">
        <f t="shared" si="50"/>
        <v>66</v>
      </c>
      <c r="Q106" s="27">
        <v>0</v>
      </c>
      <c r="R106" s="27">
        <v>0</v>
      </c>
      <c r="S106" s="27">
        <v>17</v>
      </c>
      <c r="T106" s="27">
        <f t="shared" si="51"/>
        <v>17</v>
      </c>
      <c r="U106" s="27" t="str">
        <f t="shared" si="52"/>
        <v>OK</v>
      </c>
      <c r="V106" s="27">
        <f t="shared" ref="V106" si="81">SUM(Z106:AM106)</f>
        <v>0</v>
      </c>
      <c r="W106" s="27">
        <f t="shared" ref="W106" si="82">SUM(AN106:AX106)</f>
        <v>0</v>
      </c>
      <c r="X106" s="27">
        <f t="shared" ref="X106" si="83">SUM(AY106:BI106)</f>
        <v>17</v>
      </c>
      <c r="Y106" s="27">
        <f t="shared" ref="Y106" si="84">SUM(V106:X106)</f>
        <v>17</v>
      </c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>
        <v>17</v>
      </c>
      <c r="BH106" s="32"/>
      <c r="BI106" s="32"/>
      <c r="BJ106" s="33"/>
      <c r="BK106" s="33" t="s">
        <v>487</v>
      </c>
      <c r="BL106" s="34" t="s">
        <v>125</v>
      </c>
      <c r="BM106" s="34"/>
      <c r="BN106" s="34"/>
      <c r="BO106" s="27"/>
      <c r="BP106" s="27"/>
    </row>
    <row r="107" spans="1:68" x14ac:dyDescent="0.3">
      <c r="A107" s="25">
        <v>105</v>
      </c>
      <c r="B107" s="26" t="s">
        <v>490</v>
      </c>
      <c r="C107" s="27" t="s">
        <v>491</v>
      </c>
      <c r="D107" s="28" t="s">
        <v>492</v>
      </c>
      <c r="E107" s="26" t="str">
        <f>IFERROR(VLOOKUP($D107,[1]DUK!$B$2:$D$57,3,FALSE),"")</f>
        <v>199405192025211120</v>
      </c>
      <c r="F107" s="27" t="s">
        <v>100</v>
      </c>
      <c r="G107" s="39" t="s">
        <v>398</v>
      </c>
      <c r="H107" s="29" t="str">
        <f>VLOOKUP(G107,'[1]03. DAFTAR MAPEL'!$C$3:$E$68,2,FALSE)</f>
        <v>MKDKV - XII</v>
      </c>
      <c r="I107" s="30" t="s">
        <v>493</v>
      </c>
      <c r="J107" s="27">
        <v>0</v>
      </c>
      <c r="K107" s="27">
        <v>0</v>
      </c>
      <c r="L107" s="27">
        <v>22</v>
      </c>
      <c r="M107" s="27">
        <f t="shared" si="59"/>
        <v>0</v>
      </c>
      <c r="N107" s="27">
        <f t="shared" si="68"/>
        <v>0</v>
      </c>
      <c r="O107" s="27">
        <f t="shared" si="68"/>
        <v>66</v>
      </c>
      <c r="P107" s="27">
        <f t="shared" si="50"/>
        <v>66</v>
      </c>
      <c r="Q107" s="27">
        <v>0</v>
      </c>
      <c r="R107" s="27">
        <v>0</v>
      </c>
      <c r="S107" s="27">
        <v>22</v>
      </c>
      <c r="T107" s="27">
        <f t="shared" si="51"/>
        <v>22</v>
      </c>
      <c r="U107" s="27" t="str">
        <f t="shared" si="52"/>
        <v>OK</v>
      </c>
      <c r="V107" s="27">
        <f t="shared" si="73"/>
        <v>0</v>
      </c>
      <c r="W107" s="27">
        <f t="shared" si="74"/>
        <v>0</v>
      </c>
      <c r="X107" s="27">
        <f t="shared" si="75"/>
        <v>22</v>
      </c>
      <c r="Y107" s="27">
        <f t="shared" si="76"/>
        <v>22</v>
      </c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>
        <v>22</v>
      </c>
      <c r="BG107" s="32"/>
      <c r="BH107" s="32"/>
      <c r="BI107" s="32"/>
      <c r="BJ107" s="33"/>
      <c r="BK107" s="33"/>
      <c r="BL107" s="34"/>
      <c r="BM107" s="34"/>
      <c r="BN107" s="34" t="s">
        <v>494</v>
      </c>
      <c r="BO107" s="27"/>
      <c r="BP107" s="27"/>
    </row>
    <row r="108" spans="1:68" x14ac:dyDescent="0.3">
      <c r="A108" s="25">
        <v>106</v>
      </c>
      <c r="B108" s="26" t="s">
        <v>495</v>
      </c>
      <c r="C108" s="27" t="s">
        <v>496</v>
      </c>
      <c r="D108" s="28" t="s">
        <v>492</v>
      </c>
      <c r="E108" s="26" t="str">
        <f>IFERROR(VLOOKUP($D108,[1]DUK!$B$2:$D$57,3,FALSE),"")</f>
        <v>199405192025211120</v>
      </c>
      <c r="F108" s="27" t="s">
        <v>100</v>
      </c>
      <c r="G108" s="39" t="s">
        <v>453</v>
      </c>
      <c r="H108" s="29" t="str">
        <f>VLOOKUP(G108,'[1]03. DAFTAR MAPEL'!$C$3:$E$68,2,FALSE)</f>
        <v>KIK DKV</v>
      </c>
      <c r="I108" s="30" t="s">
        <v>493</v>
      </c>
      <c r="J108" s="27">
        <v>0</v>
      </c>
      <c r="K108" s="27">
        <v>5</v>
      </c>
      <c r="L108" s="27">
        <v>5</v>
      </c>
      <c r="M108" s="27">
        <f t="shared" si="59"/>
        <v>0</v>
      </c>
      <c r="N108" s="27">
        <f t="shared" si="68"/>
        <v>15</v>
      </c>
      <c r="O108" s="27">
        <f t="shared" si="68"/>
        <v>15</v>
      </c>
      <c r="P108" s="27">
        <f t="shared" si="50"/>
        <v>30</v>
      </c>
      <c r="Q108" s="27">
        <v>0</v>
      </c>
      <c r="R108" s="27">
        <v>5</v>
      </c>
      <c r="S108" s="27">
        <v>0</v>
      </c>
      <c r="T108" s="27">
        <f t="shared" si="51"/>
        <v>5</v>
      </c>
      <c r="U108" s="27" t="str">
        <f t="shared" si="52"/>
        <v>OK</v>
      </c>
      <c r="V108" s="27">
        <f t="shared" si="73"/>
        <v>0</v>
      </c>
      <c r="W108" s="27">
        <f t="shared" si="74"/>
        <v>5</v>
      </c>
      <c r="X108" s="27">
        <f t="shared" si="75"/>
        <v>0</v>
      </c>
      <c r="Y108" s="27">
        <f t="shared" si="76"/>
        <v>5</v>
      </c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>
        <v>5</v>
      </c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3"/>
      <c r="BK108" s="33"/>
      <c r="BL108" s="34"/>
      <c r="BM108" s="34"/>
      <c r="BN108" s="34" t="s">
        <v>494</v>
      </c>
      <c r="BO108" s="27"/>
      <c r="BP108" s="27"/>
    </row>
    <row r="109" spans="1:68" x14ac:dyDescent="0.3">
      <c r="A109" s="25">
        <v>107</v>
      </c>
      <c r="B109" s="26" t="s">
        <v>497</v>
      </c>
      <c r="C109" s="27" t="s">
        <v>498</v>
      </c>
      <c r="D109" s="28" t="s">
        <v>492</v>
      </c>
      <c r="E109" s="26" t="str">
        <f>IFERROR(VLOOKUP($D109,[1]DUK!$B$2:$D$57,3,FALSE),"")</f>
        <v>199405192025211120</v>
      </c>
      <c r="F109" s="27" t="s">
        <v>100</v>
      </c>
      <c r="G109" s="28" t="s">
        <v>252</v>
      </c>
      <c r="H109" s="29" t="str">
        <f>VLOOKUP(G109,'[1]03. DAFTAR MAPEL'!$C$3:$E$68,2,FALSE)</f>
        <v>INFO</v>
      </c>
      <c r="I109" s="30" t="s">
        <v>454</v>
      </c>
      <c r="J109" s="27">
        <v>4</v>
      </c>
      <c r="K109" s="27">
        <v>0</v>
      </c>
      <c r="L109" s="27">
        <v>0</v>
      </c>
      <c r="M109" s="27">
        <f t="shared" si="59"/>
        <v>16</v>
      </c>
      <c r="N109" s="27">
        <f t="shared" si="68"/>
        <v>0</v>
      </c>
      <c r="O109" s="27">
        <f t="shared" si="68"/>
        <v>0</v>
      </c>
      <c r="P109" s="27">
        <f t="shared" si="50"/>
        <v>16</v>
      </c>
      <c r="Q109" s="27">
        <v>4</v>
      </c>
      <c r="R109" s="27">
        <v>0</v>
      </c>
      <c r="S109" s="27">
        <v>0</v>
      </c>
      <c r="T109" s="27">
        <f t="shared" si="51"/>
        <v>4</v>
      </c>
      <c r="U109" s="27" t="str">
        <f t="shared" si="52"/>
        <v>OK</v>
      </c>
      <c r="V109" s="27">
        <f t="shared" ref="V109:V110" si="85">SUM(Z109:AM109)</f>
        <v>4</v>
      </c>
      <c r="W109" s="27">
        <f t="shared" ref="W109:W110" si="86">SUM(AN109:AX109)</f>
        <v>0</v>
      </c>
      <c r="X109" s="27">
        <f t="shared" ref="X109:X110" si="87">SUM(AY109:BI109)</f>
        <v>0</v>
      </c>
      <c r="Y109" s="27">
        <f t="shared" ref="Y109:Y110" si="88">SUM(V109:X109)</f>
        <v>4</v>
      </c>
      <c r="Z109" s="32"/>
      <c r="AA109" s="32"/>
      <c r="AB109" s="32"/>
      <c r="AC109" s="32"/>
      <c r="AD109" s="32"/>
      <c r="AE109" s="32">
        <v>4</v>
      </c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3"/>
      <c r="BK109" s="33"/>
      <c r="BL109" s="34"/>
      <c r="BM109" s="34"/>
      <c r="BN109" s="34" t="s">
        <v>494</v>
      </c>
      <c r="BO109" s="27"/>
      <c r="BP109" s="27"/>
    </row>
    <row r="110" spans="1:68" x14ac:dyDescent="0.3">
      <c r="A110" s="25">
        <v>108</v>
      </c>
      <c r="B110" s="26" t="s">
        <v>499</v>
      </c>
      <c r="C110" s="27" t="s">
        <v>500</v>
      </c>
      <c r="D110" s="28" t="s">
        <v>501</v>
      </c>
      <c r="E110" s="26" t="str">
        <f>IFERROR(VLOOKUP($D110,[1]DUK!$B$2:$D$57,3,FALSE),"")</f>
        <v>199108052025211147</v>
      </c>
      <c r="F110" s="27" t="s">
        <v>100</v>
      </c>
      <c r="G110" s="39" t="s">
        <v>459</v>
      </c>
      <c r="H110" s="29" t="str">
        <f>VLOOKUP(G110,'[1]03. DAFTAR MAPEL'!$C$3:$E$68,2,FALSE)</f>
        <v>DPKV</v>
      </c>
      <c r="I110" s="30" t="s">
        <v>502</v>
      </c>
      <c r="J110" s="27">
        <v>12</v>
      </c>
      <c r="K110" s="27">
        <v>0</v>
      </c>
      <c r="L110" s="27">
        <v>0</v>
      </c>
      <c r="M110" s="27">
        <f t="shared" si="59"/>
        <v>48</v>
      </c>
      <c r="N110" s="27">
        <f t="shared" si="68"/>
        <v>0</v>
      </c>
      <c r="O110" s="27">
        <f t="shared" si="68"/>
        <v>0</v>
      </c>
      <c r="P110" s="27">
        <f t="shared" si="50"/>
        <v>48</v>
      </c>
      <c r="Q110" s="27">
        <v>16</v>
      </c>
      <c r="R110" s="27">
        <v>0</v>
      </c>
      <c r="S110" s="27">
        <v>0</v>
      </c>
      <c r="T110" s="27">
        <f t="shared" si="51"/>
        <v>16</v>
      </c>
      <c r="U110" s="27" t="str">
        <f t="shared" si="52"/>
        <v>OK</v>
      </c>
      <c r="V110" s="27">
        <f t="shared" si="85"/>
        <v>16</v>
      </c>
      <c r="W110" s="27">
        <f t="shared" si="86"/>
        <v>0</v>
      </c>
      <c r="X110" s="27">
        <f t="shared" si="87"/>
        <v>0</v>
      </c>
      <c r="Y110" s="27">
        <f t="shared" si="88"/>
        <v>16</v>
      </c>
      <c r="Z110" s="32"/>
      <c r="AA110" s="32"/>
      <c r="AB110" s="32"/>
      <c r="AC110" s="32"/>
      <c r="AD110" s="32"/>
      <c r="AE110" s="32"/>
      <c r="AF110" s="32"/>
      <c r="AG110" s="32"/>
      <c r="AH110" s="32">
        <v>4</v>
      </c>
      <c r="AI110" s="32">
        <v>8</v>
      </c>
      <c r="AJ110" s="32"/>
      <c r="AK110" s="32">
        <v>4</v>
      </c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3"/>
      <c r="BK110" s="33"/>
      <c r="BL110" s="34"/>
      <c r="BM110" s="34"/>
      <c r="BN110" s="34" t="s">
        <v>503</v>
      </c>
      <c r="BO110" s="27"/>
      <c r="BP110" s="27"/>
    </row>
    <row r="111" spans="1:68" x14ac:dyDescent="0.3">
      <c r="A111" s="25">
        <v>109</v>
      </c>
      <c r="B111" s="26" t="s">
        <v>504</v>
      </c>
      <c r="C111" s="27" t="s">
        <v>505</v>
      </c>
      <c r="D111" s="28" t="s">
        <v>506</v>
      </c>
      <c r="E111" s="26" t="str">
        <f>IFERROR(VLOOKUP($D111,[1]DUK!$B$2:$D$57,3,FALSE),"")</f>
        <v>198309032023212007</v>
      </c>
      <c r="F111" s="27" t="s">
        <v>67</v>
      </c>
      <c r="G111" s="28" t="s">
        <v>507</v>
      </c>
      <c r="H111" s="29" t="str">
        <f>VLOOKUP(G111,'[1]03. DAFTAR MAPEL'!$C$3:$E$68,2,FALSE)</f>
        <v>DPAP</v>
      </c>
      <c r="I111" s="30" t="s">
        <v>508</v>
      </c>
      <c r="J111" s="27">
        <v>12</v>
      </c>
      <c r="K111" s="27">
        <v>0</v>
      </c>
      <c r="L111" s="27">
        <v>0</v>
      </c>
      <c r="M111" s="27">
        <f>J111*2</f>
        <v>24</v>
      </c>
      <c r="N111" s="27">
        <f>K111*2</f>
        <v>0</v>
      </c>
      <c r="O111" s="27">
        <f>L111*2</f>
        <v>0</v>
      </c>
      <c r="P111" s="27">
        <f t="shared" si="50"/>
        <v>24</v>
      </c>
      <c r="Q111" s="27">
        <v>24</v>
      </c>
      <c r="R111" s="27">
        <v>0</v>
      </c>
      <c r="S111" s="27">
        <v>0</v>
      </c>
      <c r="T111" s="27">
        <f t="shared" si="51"/>
        <v>24</v>
      </c>
      <c r="U111" s="27" t="str">
        <f t="shared" si="52"/>
        <v>OK</v>
      </c>
      <c r="V111" s="27">
        <f t="shared" si="73"/>
        <v>24</v>
      </c>
      <c r="W111" s="27">
        <f t="shared" si="74"/>
        <v>0</v>
      </c>
      <c r="X111" s="27">
        <f t="shared" si="75"/>
        <v>0</v>
      </c>
      <c r="Y111" s="27">
        <f t="shared" si="76"/>
        <v>24</v>
      </c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12</v>
      </c>
      <c r="AM111" s="32">
        <v>12</v>
      </c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3" t="s">
        <v>509</v>
      </c>
      <c r="BK111" s="33"/>
      <c r="BL111" s="34"/>
      <c r="BM111" s="34"/>
      <c r="BN111" s="34"/>
      <c r="BO111" s="27"/>
      <c r="BP111" s="27"/>
    </row>
    <row r="112" spans="1:68" x14ac:dyDescent="0.3">
      <c r="A112" s="25">
        <v>110</v>
      </c>
      <c r="B112" s="26" t="s">
        <v>510</v>
      </c>
      <c r="C112" s="27" t="s">
        <v>511</v>
      </c>
      <c r="D112" s="28" t="s">
        <v>506</v>
      </c>
      <c r="E112" s="26" t="str">
        <f>IFERROR(VLOOKUP($D112,[1]DUK!$B$2:$D$57,3,FALSE),"")</f>
        <v>198309032023212007</v>
      </c>
      <c r="F112" s="27" t="s">
        <v>67</v>
      </c>
      <c r="G112" s="28" t="s">
        <v>276</v>
      </c>
      <c r="H112" s="29" t="str">
        <f>VLOOKUP(G112,'[1]03. DAFTAR MAPEL'!$C$3:$E$68,2,FALSE)</f>
        <v>KIK MP</v>
      </c>
      <c r="I112" s="30" t="s">
        <v>508</v>
      </c>
      <c r="J112" s="27">
        <v>0</v>
      </c>
      <c r="K112" s="27">
        <v>5</v>
      </c>
      <c r="L112" s="27">
        <v>5</v>
      </c>
      <c r="M112" s="27">
        <f t="shared" ref="M112:O120" si="89">J112*2</f>
        <v>0</v>
      </c>
      <c r="N112" s="27">
        <f t="shared" si="89"/>
        <v>10</v>
      </c>
      <c r="O112" s="27">
        <f t="shared" si="89"/>
        <v>10</v>
      </c>
      <c r="P112" s="27">
        <f t="shared" si="50"/>
        <v>20</v>
      </c>
      <c r="Q112" s="27">
        <v>0</v>
      </c>
      <c r="R112" s="27">
        <v>0</v>
      </c>
      <c r="S112" s="27">
        <v>10</v>
      </c>
      <c r="T112" s="27">
        <f t="shared" si="51"/>
        <v>10</v>
      </c>
      <c r="U112" s="27" t="str">
        <f t="shared" si="52"/>
        <v>OK</v>
      </c>
      <c r="V112" s="27">
        <f t="shared" si="73"/>
        <v>0</v>
      </c>
      <c r="W112" s="27">
        <f t="shared" si="74"/>
        <v>0</v>
      </c>
      <c r="X112" s="27">
        <f t="shared" si="75"/>
        <v>10</v>
      </c>
      <c r="Y112" s="27">
        <f t="shared" si="76"/>
        <v>10</v>
      </c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>
        <v>5</v>
      </c>
      <c r="BI112" s="32">
        <v>5</v>
      </c>
      <c r="BJ112" s="33" t="s">
        <v>509</v>
      </c>
      <c r="BK112" s="33"/>
      <c r="BL112" s="34"/>
      <c r="BM112" s="34"/>
      <c r="BN112" s="34"/>
      <c r="BO112" s="27"/>
      <c r="BP112" s="27"/>
    </row>
    <row r="113" spans="1:72" x14ac:dyDescent="0.3">
      <c r="A113" s="25">
        <v>111</v>
      </c>
      <c r="B113" s="26" t="s">
        <v>512</v>
      </c>
      <c r="C113" s="27" t="s">
        <v>513</v>
      </c>
      <c r="D113" s="28" t="s">
        <v>514</v>
      </c>
      <c r="E113" s="26" t="str">
        <f>IFERROR(VLOOKUP($D113,[1]DUK!$B$2:$D$57,3,FALSE),"")</f>
        <v>199911092025212075</v>
      </c>
      <c r="F113" s="27" t="s">
        <v>100</v>
      </c>
      <c r="G113" s="28" t="s">
        <v>515</v>
      </c>
      <c r="H113" s="29" t="str">
        <f>VLOOKUP(G113,'[1]03. DAFTAR MAPEL'!$C$3:$E$68,2,FALSE)</f>
        <v>MKMP</v>
      </c>
      <c r="I113" s="30" t="s">
        <v>516</v>
      </c>
      <c r="J113" s="27">
        <v>0</v>
      </c>
      <c r="K113" s="27">
        <v>2</v>
      </c>
      <c r="L113" s="27">
        <v>4</v>
      </c>
      <c r="M113" s="27">
        <f t="shared" si="89"/>
        <v>0</v>
      </c>
      <c r="N113" s="27">
        <f t="shared" si="89"/>
        <v>4</v>
      </c>
      <c r="O113" s="27">
        <f t="shared" si="89"/>
        <v>8</v>
      </c>
      <c r="P113" s="27">
        <f t="shared" si="50"/>
        <v>12</v>
      </c>
      <c r="Q113" s="27">
        <v>0</v>
      </c>
      <c r="R113" s="27">
        <v>4</v>
      </c>
      <c r="S113" s="27">
        <v>8</v>
      </c>
      <c r="T113" s="27">
        <f t="shared" si="51"/>
        <v>12</v>
      </c>
      <c r="U113" s="27" t="str">
        <f t="shared" si="52"/>
        <v>OK</v>
      </c>
      <c r="V113" s="27">
        <f t="shared" si="73"/>
        <v>0</v>
      </c>
      <c r="W113" s="27">
        <f t="shared" si="74"/>
        <v>4</v>
      </c>
      <c r="X113" s="27">
        <f t="shared" si="75"/>
        <v>8</v>
      </c>
      <c r="Y113" s="27">
        <f t="shared" si="76"/>
        <v>12</v>
      </c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>
        <v>2</v>
      </c>
      <c r="AX113" s="32">
        <v>2</v>
      </c>
      <c r="AY113" s="32"/>
      <c r="AZ113" s="32"/>
      <c r="BA113" s="32"/>
      <c r="BB113" s="32"/>
      <c r="BC113" s="32"/>
      <c r="BD113" s="32"/>
      <c r="BE113" s="32"/>
      <c r="BF113" s="32"/>
      <c r="BG113" s="32"/>
      <c r="BH113" s="32">
        <v>4</v>
      </c>
      <c r="BI113" s="32">
        <v>4</v>
      </c>
      <c r="BJ113" s="33"/>
      <c r="BK113" s="33" t="s">
        <v>517</v>
      </c>
      <c r="BL113" s="34"/>
      <c r="BM113" s="34"/>
      <c r="BN113" s="34"/>
      <c r="BO113" s="27"/>
      <c r="BP113" s="27"/>
    </row>
    <row r="114" spans="1:72" x14ac:dyDescent="0.3">
      <c r="A114" s="25">
        <v>112</v>
      </c>
      <c r="B114" s="26" t="s">
        <v>518</v>
      </c>
      <c r="C114" s="27" t="s">
        <v>519</v>
      </c>
      <c r="D114" s="28" t="s">
        <v>514</v>
      </c>
      <c r="E114" s="26" t="str">
        <f>IFERROR(VLOOKUP($D114,[1]DUK!$B$2:$D$57,3,FALSE),"")</f>
        <v>199911092025212075</v>
      </c>
      <c r="F114" s="27" t="s">
        <v>100</v>
      </c>
      <c r="G114" s="28" t="s">
        <v>520</v>
      </c>
      <c r="H114" s="29" t="str">
        <f>VLOOKUP(G114,'[1]03. DAFTAR MAPEL'!$C$3:$E$68,2,FALSE)</f>
        <v>MKMP</v>
      </c>
      <c r="I114" s="30" t="s">
        <v>516</v>
      </c>
      <c r="J114" s="27">
        <v>0</v>
      </c>
      <c r="K114" s="27">
        <v>2</v>
      </c>
      <c r="L114" s="27">
        <v>2</v>
      </c>
      <c r="M114" s="27">
        <f t="shared" si="89"/>
        <v>0</v>
      </c>
      <c r="N114" s="27">
        <f t="shared" si="89"/>
        <v>4</v>
      </c>
      <c r="O114" s="27">
        <f t="shared" si="89"/>
        <v>4</v>
      </c>
      <c r="P114" s="27">
        <f t="shared" si="50"/>
        <v>8</v>
      </c>
      <c r="Q114" s="27">
        <v>0</v>
      </c>
      <c r="R114" s="27">
        <v>0</v>
      </c>
      <c r="S114" s="27">
        <v>4</v>
      </c>
      <c r="T114" s="27">
        <f t="shared" si="51"/>
        <v>4</v>
      </c>
      <c r="U114" s="27" t="str">
        <f t="shared" si="52"/>
        <v>OK</v>
      </c>
      <c r="V114" s="27">
        <f t="shared" ref="V114:V116" si="90">SUM(Z114:AM114)</f>
        <v>0</v>
      </c>
      <c r="W114" s="27">
        <f t="shared" ref="W114:W116" si="91">SUM(AN114:AX114)</f>
        <v>0</v>
      </c>
      <c r="X114" s="27">
        <f t="shared" ref="X114:X116" si="92">SUM(AY114:BI114)</f>
        <v>4</v>
      </c>
      <c r="Y114" s="27">
        <f t="shared" ref="Y114:Y116" si="93">SUM(V114:X114)</f>
        <v>4</v>
      </c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>
        <v>2</v>
      </c>
      <c r="BI114" s="32">
        <v>2</v>
      </c>
      <c r="BJ114" s="33"/>
      <c r="BK114" s="33" t="s">
        <v>517</v>
      </c>
      <c r="BL114" s="34"/>
      <c r="BM114" s="34"/>
      <c r="BN114" s="34"/>
      <c r="BO114" s="27"/>
      <c r="BP114" s="27"/>
    </row>
    <row r="115" spans="1:72" x14ac:dyDescent="0.3">
      <c r="A115" s="25">
        <v>113</v>
      </c>
      <c r="B115" s="26" t="s">
        <v>521</v>
      </c>
      <c r="C115" s="27" t="s">
        <v>522</v>
      </c>
      <c r="D115" s="28" t="s">
        <v>514</v>
      </c>
      <c r="E115" s="26" t="str">
        <f>IFERROR(VLOOKUP($D115,[1]DUK!$B$2:$D$57,3,FALSE),"")</f>
        <v>199911092025212075</v>
      </c>
      <c r="F115" s="27" t="s">
        <v>100</v>
      </c>
      <c r="G115" s="28" t="s">
        <v>523</v>
      </c>
      <c r="H115" s="29" t="str">
        <f>VLOOKUP(G115,'[1]03. DAFTAR MAPEL'!$C$3:$E$68,2,FALSE)</f>
        <v>MKMP</v>
      </c>
      <c r="I115" s="30" t="s">
        <v>516</v>
      </c>
      <c r="J115" s="27">
        <v>0</v>
      </c>
      <c r="K115" s="27">
        <v>6</v>
      </c>
      <c r="L115" s="27">
        <v>4</v>
      </c>
      <c r="M115" s="27">
        <f t="shared" si="89"/>
        <v>0</v>
      </c>
      <c r="N115" s="27">
        <f t="shared" si="89"/>
        <v>12</v>
      </c>
      <c r="O115" s="27">
        <f t="shared" si="89"/>
        <v>8</v>
      </c>
      <c r="P115" s="27">
        <f t="shared" si="50"/>
        <v>20</v>
      </c>
      <c r="Q115" s="27">
        <v>0</v>
      </c>
      <c r="R115" s="27">
        <v>6</v>
      </c>
      <c r="S115" s="27">
        <v>8</v>
      </c>
      <c r="T115" s="27">
        <f t="shared" si="51"/>
        <v>14</v>
      </c>
      <c r="U115" s="27" t="str">
        <f t="shared" si="52"/>
        <v>OK</v>
      </c>
      <c r="V115" s="27">
        <f t="shared" si="90"/>
        <v>0</v>
      </c>
      <c r="W115" s="27">
        <f t="shared" si="91"/>
        <v>6</v>
      </c>
      <c r="X115" s="27">
        <f t="shared" si="92"/>
        <v>8</v>
      </c>
      <c r="Y115" s="27">
        <f t="shared" si="93"/>
        <v>14</v>
      </c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>
        <v>3</v>
      </c>
      <c r="AX115" s="32">
        <v>3</v>
      </c>
      <c r="AY115" s="32"/>
      <c r="AZ115" s="32"/>
      <c r="BA115" s="32"/>
      <c r="BB115" s="32"/>
      <c r="BC115" s="32"/>
      <c r="BD115" s="32"/>
      <c r="BE115" s="32"/>
      <c r="BF115" s="32"/>
      <c r="BG115" s="32"/>
      <c r="BH115" s="32">
        <v>4</v>
      </c>
      <c r="BI115" s="32">
        <v>4</v>
      </c>
      <c r="BJ115" s="33"/>
      <c r="BK115" s="33" t="s">
        <v>517</v>
      </c>
      <c r="BL115" s="34"/>
      <c r="BM115" s="34"/>
      <c r="BN115" s="34"/>
      <c r="BO115" s="27"/>
      <c r="BP115" s="27"/>
    </row>
    <row r="116" spans="1:72" x14ac:dyDescent="0.3">
      <c r="A116" s="25">
        <v>114</v>
      </c>
      <c r="B116" s="26" t="s">
        <v>524</v>
      </c>
      <c r="C116" s="27" t="s">
        <v>525</v>
      </c>
      <c r="D116" s="28" t="s">
        <v>514</v>
      </c>
      <c r="E116" s="26" t="str">
        <f>IFERROR(VLOOKUP($D116,[1]DUK!$B$2:$D$57,3,FALSE),"")</f>
        <v>199911092025212075</v>
      </c>
      <c r="F116" s="27" t="s">
        <v>100</v>
      </c>
      <c r="G116" s="28" t="s">
        <v>526</v>
      </c>
      <c r="H116" s="29" t="str">
        <f>VLOOKUP(G116,'[1]03. DAFTAR MAPEL'!$C$3:$E$68,2,FALSE)</f>
        <v>MKMP</v>
      </c>
      <c r="I116" s="30" t="s">
        <v>516</v>
      </c>
      <c r="J116" s="27">
        <v>0</v>
      </c>
      <c r="K116" s="27">
        <v>2</v>
      </c>
      <c r="L116" s="27">
        <v>2</v>
      </c>
      <c r="M116" s="27">
        <f t="shared" si="89"/>
        <v>0</v>
      </c>
      <c r="N116" s="27">
        <f t="shared" si="89"/>
        <v>4</v>
      </c>
      <c r="O116" s="27">
        <f t="shared" si="89"/>
        <v>4</v>
      </c>
      <c r="P116" s="27">
        <f t="shared" si="50"/>
        <v>8</v>
      </c>
      <c r="Q116" s="27">
        <v>0</v>
      </c>
      <c r="R116" s="27">
        <v>4</v>
      </c>
      <c r="S116" s="27">
        <v>4</v>
      </c>
      <c r="T116" s="27">
        <f t="shared" si="51"/>
        <v>8</v>
      </c>
      <c r="U116" s="27" t="str">
        <f t="shared" si="52"/>
        <v>OK</v>
      </c>
      <c r="V116" s="27">
        <f t="shared" si="90"/>
        <v>0</v>
      </c>
      <c r="W116" s="27">
        <f t="shared" si="91"/>
        <v>4</v>
      </c>
      <c r="X116" s="27">
        <f t="shared" si="92"/>
        <v>4</v>
      </c>
      <c r="Y116" s="27">
        <f t="shared" si="93"/>
        <v>8</v>
      </c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>
        <v>2</v>
      </c>
      <c r="AX116" s="32">
        <v>2</v>
      </c>
      <c r="AY116" s="32"/>
      <c r="AZ116" s="32"/>
      <c r="BA116" s="32"/>
      <c r="BB116" s="32"/>
      <c r="BC116" s="32"/>
      <c r="BD116" s="32"/>
      <c r="BE116" s="32"/>
      <c r="BF116" s="32"/>
      <c r="BG116" s="32"/>
      <c r="BH116" s="32">
        <v>2</v>
      </c>
      <c r="BI116" s="32">
        <v>2</v>
      </c>
      <c r="BJ116" s="33"/>
      <c r="BK116" s="33" t="s">
        <v>517</v>
      </c>
      <c r="BL116" s="34"/>
      <c r="BM116" s="34"/>
      <c r="BN116" s="34"/>
      <c r="BO116" s="27"/>
      <c r="BP116" s="27"/>
    </row>
    <row r="117" spans="1:72" x14ac:dyDescent="0.3">
      <c r="A117" s="25">
        <v>115</v>
      </c>
      <c r="B117" s="26" t="s">
        <v>527</v>
      </c>
      <c r="C117" s="27" t="s">
        <v>528</v>
      </c>
      <c r="D117" s="28" t="s">
        <v>529</v>
      </c>
      <c r="E117" s="26" t="str">
        <f>IFERROR(VLOOKUP($D117,[1]DUK!$B$2:$D$57,3,FALSE),"")</f>
        <v>199706032025212071</v>
      </c>
      <c r="F117" s="27" t="s">
        <v>100</v>
      </c>
      <c r="G117" s="28" t="s">
        <v>530</v>
      </c>
      <c r="H117" s="29" t="str">
        <f>VLOOKUP(G117,'[1]03. DAFTAR MAPEL'!$C$3:$E$68,2,FALSE)</f>
        <v>MKMP</v>
      </c>
      <c r="I117" s="30" t="s">
        <v>531</v>
      </c>
      <c r="J117" s="27">
        <v>0</v>
      </c>
      <c r="K117" s="27">
        <v>2</v>
      </c>
      <c r="L117" s="27">
        <v>2</v>
      </c>
      <c r="M117" s="27">
        <f t="shared" si="89"/>
        <v>0</v>
      </c>
      <c r="N117" s="27">
        <f t="shared" si="89"/>
        <v>4</v>
      </c>
      <c r="O117" s="27">
        <f t="shared" si="89"/>
        <v>4</v>
      </c>
      <c r="P117" s="27">
        <f t="shared" si="50"/>
        <v>8</v>
      </c>
      <c r="Q117" s="27">
        <v>0</v>
      </c>
      <c r="R117" s="27">
        <v>4</v>
      </c>
      <c r="S117" s="27">
        <v>4</v>
      </c>
      <c r="T117" s="27">
        <f t="shared" si="51"/>
        <v>8</v>
      </c>
      <c r="U117" s="27" t="str">
        <f t="shared" si="52"/>
        <v>OK</v>
      </c>
      <c r="V117" s="27">
        <f t="shared" si="73"/>
        <v>0</v>
      </c>
      <c r="W117" s="27">
        <f t="shared" si="74"/>
        <v>4</v>
      </c>
      <c r="X117" s="27">
        <f t="shared" si="75"/>
        <v>4</v>
      </c>
      <c r="Y117" s="27">
        <f t="shared" si="76"/>
        <v>8</v>
      </c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>
        <v>2</v>
      </c>
      <c r="AX117" s="32">
        <v>2</v>
      </c>
      <c r="AY117" s="32"/>
      <c r="AZ117" s="32"/>
      <c r="BA117" s="32"/>
      <c r="BB117" s="32"/>
      <c r="BC117" s="32"/>
      <c r="BD117" s="32"/>
      <c r="BE117" s="32"/>
      <c r="BF117" s="32"/>
      <c r="BG117" s="32"/>
      <c r="BH117" s="32">
        <v>2</v>
      </c>
      <c r="BI117" s="32">
        <v>2</v>
      </c>
      <c r="BJ117" s="33"/>
      <c r="BK117" s="33" t="s">
        <v>532</v>
      </c>
      <c r="BL117" s="34"/>
      <c r="BM117" s="34"/>
      <c r="BN117" s="34" t="s">
        <v>533</v>
      </c>
      <c r="BO117" s="27"/>
      <c r="BP117" s="27"/>
    </row>
    <row r="118" spans="1:72" x14ac:dyDescent="0.3">
      <c r="A118" s="25">
        <v>116</v>
      </c>
      <c r="B118" s="26" t="s">
        <v>534</v>
      </c>
      <c r="C118" s="27" t="s">
        <v>535</v>
      </c>
      <c r="D118" s="28" t="s">
        <v>529</v>
      </c>
      <c r="E118" s="26" t="str">
        <f>IFERROR(VLOOKUP($D118,[1]DUK!$B$2:$D$57,3,FALSE),"")</f>
        <v>199706032025212071</v>
      </c>
      <c r="F118" s="27" t="s">
        <v>100</v>
      </c>
      <c r="G118" s="28" t="s">
        <v>536</v>
      </c>
      <c r="H118" s="29" t="str">
        <f>VLOOKUP(G118,'[1]03. DAFTAR MAPEL'!$C$3:$E$68,2,FALSE)</f>
        <v>MKMP</v>
      </c>
      <c r="I118" s="30" t="s">
        <v>531</v>
      </c>
      <c r="J118" s="27">
        <v>0</v>
      </c>
      <c r="K118" s="27">
        <v>2</v>
      </c>
      <c r="L118" s="27">
        <v>2</v>
      </c>
      <c r="M118" s="27">
        <f t="shared" si="89"/>
        <v>0</v>
      </c>
      <c r="N118" s="27">
        <f t="shared" si="89"/>
        <v>4</v>
      </c>
      <c r="O118" s="27">
        <f t="shared" si="89"/>
        <v>4</v>
      </c>
      <c r="P118" s="27">
        <f t="shared" si="50"/>
        <v>8</v>
      </c>
      <c r="Q118" s="27">
        <v>0</v>
      </c>
      <c r="R118" s="27">
        <v>4</v>
      </c>
      <c r="S118" s="27">
        <v>4</v>
      </c>
      <c r="T118" s="27">
        <f t="shared" si="51"/>
        <v>8</v>
      </c>
      <c r="U118" s="27" t="str">
        <f t="shared" si="52"/>
        <v>OK</v>
      </c>
      <c r="V118" s="27">
        <f t="shared" si="73"/>
        <v>0</v>
      </c>
      <c r="W118" s="27">
        <f t="shared" si="74"/>
        <v>4</v>
      </c>
      <c r="X118" s="27">
        <f t="shared" si="75"/>
        <v>4</v>
      </c>
      <c r="Y118" s="27">
        <f t="shared" si="76"/>
        <v>8</v>
      </c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>
        <v>2</v>
      </c>
      <c r="AX118" s="32">
        <v>2</v>
      </c>
      <c r="AY118" s="32"/>
      <c r="AZ118" s="32"/>
      <c r="BA118" s="32"/>
      <c r="BB118" s="32"/>
      <c r="BC118" s="32"/>
      <c r="BD118" s="32"/>
      <c r="BE118" s="32"/>
      <c r="BF118" s="32"/>
      <c r="BG118" s="32"/>
      <c r="BH118" s="32">
        <v>2</v>
      </c>
      <c r="BI118" s="32">
        <v>2</v>
      </c>
      <c r="BJ118" s="33"/>
      <c r="BK118" s="33" t="s">
        <v>532</v>
      </c>
      <c r="BL118" s="34"/>
      <c r="BM118" s="34"/>
      <c r="BN118" s="34" t="s">
        <v>533</v>
      </c>
      <c r="BO118" s="27"/>
      <c r="BP118" s="27"/>
    </row>
    <row r="119" spans="1:72" x14ac:dyDescent="0.3">
      <c r="A119" s="25">
        <v>117</v>
      </c>
      <c r="B119" s="26" t="s">
        <v>537</v>
      </c>
      <c r="C119" s="27" t="s">
        <v>538</v>
      </c>
      <c r="D119" s="28" t="s">
        <v>529</v>
      </c>
      <c r="E119" s="26" t="str">
        <f>IFERROR(VLOOKUP($D119,[1]DUK!$B$2:$D$57,3,FALSE),"")</f>
        <v>199706032025212071</v>
      </c>
      <c r="F119" s="27" t="s">
        <v>100</v>
      </c>
      <c r="G119" s="28" t="s">
        <v>520</v>
      </c>
      <c r="H119" s="29" t="str">
        <f>VLOOKUP(G119,'[1]03. DAFTAR MAPEL'!$C$3:$E$68,2,FALSE)</f>
        <v>MKMP</v>
      </c>
      <c r="I119" s="30" t="s">
        <v>531</v>
      </c>
      <c r="J119" s="27">
        <v>0</v>
      </c>
      <c r="K119" s="27">
        <v>2</v>
      </c>
      <c r="L119" s="27">
        <v>2</v>
      </c>
      <c r="M119" s="27">
        <f t="shared" si="89"/>
        <v>0</v>
      </c>
      <c r="N119" s="27">
        <f t="shared" si="89"/>
        <v>4</v>
      </c>
      <c r="O119" s="27">
        <f t="shared" si="89"/>
        <v>4</v>
      </c>
      <c r="P119" s="27">
        <f t="shared" si="50"/>
        <v>8</v>
      </c>
      <c r="Q119" s="27">
        <v>0</v>
      </c>
      <c r="R119" s="27">
        <v>4</v>
      </c>
      <c r="S119" s="27">
        <v>0</v>
      </c>
      <c r="T119" s="27">
        <f t="shared" si="51"/>
        <v>4</v>
      </c>
      <c r="U119" s="27" t="str">
        <f t="shared" si="52"/>
        <v>OK</v>
      </c>
      <c r="V119" s="27">
        <f t="shared" si="73"/>
        <v>0</v>
      </c>
      <c r="W119" s="27">
        <f t="shared" si="74"/>
        <v>4</v>
      </c>
      <c r="X119" s="27">
        <f t="shared" si="75"/>
        <v>0</v>
      </c>
      <c r="Y119" s="27">
        <f t="shared" si="76"/>
        <v>4</v>
      </c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>
        <v>2</v>
      </c>
      <c r="AX119" s="32">
        <v>2</v>
      </c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3"/>
      <c r="BK119" s="33" t="s">
        <v>532</v>
      </c>
      <c r="BL119" s="34"/>
      <c r="BM119" s="34"/>
      <c r="BN119" s="34" t="s">
        <v>533</v>
      </c>
      <c r="BO119" s="27"/>
      <c r="BP119" s="27"/>
    </row>
    <row r="120" spans="1:72" x14ac:dyDescent="0.3">
      <c r="A120" s="25">
        <v>118</v>
      </c>
      <c r="B120" s="26" t="s">
        <v>539</v>
      </c>
      <c r="C120" s="27" t="s">
        <v>540</v>
      </c>
      <c r="D120" s="28" t="s">
        <v>529</v>
      </c>
      <c r="E120" s="26" t="str">
        <f>IFERROR(VLOOKUP($D120,[1]DUK!$B$2:$D$57,3,FALSE),"")</f>
        <v>199706032025212071</v>
      </c>
      <c r="F120" s="27" t="s">
        <v>100</v>
      </c>
      <c r="G120" s="28" t="s">
        <v>541</v>
      </c>
      <c r="H120" s="29" t="str">
        <f>VLOOKUP(G120,'[1]03. DAFTAR MAPEL'!$C$3:$E$68,2,FALSE)</f>
        <v>MKMP</v>
      </c>
      <c r="I120" s="30" t="s">
        <v>531</v>
      </c>
      <c r="J120" s="27">
        <v>0</v>
      </c>
      <c r="K120" s="27">
        <v>3</v>
      </c>
      <c r="L120" s="27">
        <v>4</v>
      </c>
      <c r="M120" s="27">
        <f t="shared" si="89"/>
        <v>0</v>
      </c>
      <c r="N120" s="27">
        <f t="shared" si="89"/>
        <v>6</v>
      </c>
      <c r="O120" s="27">
        <f t="shared" si="89"/>
        <v>8</v>
      </c>
      <c r="P120" s="27">
        <f t="shared" si="50"/>
        <v>14</v>
      </c>
      <c r="Q120" s="27">
        <v>0</v>
      </c>
      <c r="R120" s="27">
        <v>6</v>
      </c>
      <c r="S120" s="27">
        <v>8</v>
      </c>
      <c r="T120" s="27">
        <f t="shared" si="51"/>
        <v>14</v>
      </c>
      <c r="U120" s="27" t="str">
        <f t="shared" si="52"/>
        <v>OK</v>
      </c>
      <c r="V120" s="27">
        <f t="shared" ref="V120" si="94">SUM(Z120:AM120)</f>
        <v>0</v>
      </c>
      <c r="W120" s="27">
        <f t="shared" ref="W120" si="95">SUM(AN120:AX120)</f>
        <v>6</v>
      </c>
      <c r="X120" s="27">
        <f t="shared" ref="X120" si="96">SUM(AY120:BI120)</f>
        <v>8</v>
      </c>
      <c r="Y120" s="27">
        <f t="shared" ref="Y120" si="97">SUM(V120:X120)</f>
        <v>14</v>
      </c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>
        <v>3</v>
      </c>
      <c r="AX120" s="32">
        <v>3</v>
      </c>
      <c r="AY120" s="32"/>
      <c r="AZ120" s="32"/>
      <c r="BA120" s="32"/>
      <c r="BB120" s="32"/>
      <c r="BC120" s="32"/>
      <c r="BD120" s="32"/>
      <c r="BE120" s="32"/>
      <c r="BF120" s="32"/>
      <c r="BG120" s="32"/>
      <c r="BH120" s="32">
        <v>4</v>
      </c>
      <c r="BI120" s="32">
        <v>4</v>
      </c>
      <c r="BJ120" s="33"/>
      <c r="BK120" s="33" t="s">
        <v>532</v>
      </c>
      <c r="BL120" s="34"/>
      <c r="BM120" s="34"/>
      <c r="BN120" s="34" t="s">
        <v>533</v>
      </c>
      <c r="BO120" s="27"/>
      <c r="BP120" s="27"/>
    </row>
    <row r="122" spans="1:72" s="40" customFormat="1" ht="12.95" customHeight="1" x14ac:dyDescent="0.3">
      <c r="A122" s="25">
        <v>1</v>
      </c>
      <c r="B122" s="35">
        <v>2</v>
      </c>
      <c r="C122" s="25">
        <v>3</v>
      </c>
      <c r="D122" s="35">
        <v>4</v>
      </c>
      <c r="E122" s="25">
        <v>5</v>
      </c>
      <c r="F122" s="35">
        <v>6</v>
      </c>
      <c r="G122" s="25">
        <v>7</v>
      </c>
      <c r="H122" s="35">
        <v>8</v>
      </c>
      <c r="I122" s="25">
        <v>9</v>
      </c>
      <c r="J122" s="35">
        <v>10</v>
      </c>
      <c r="K122" s="25">
        <v>11</v>
      </c>
      <c r="L122" s="35">
        <v>12</v>
      </c>
      <c r="M122" s="25">
        <v>13</v>
      </c>
      <c r="N122" s="35">
        <v>14</v>
      </c>
      <c r="O122" s="25">
        <v>15</v>
      </c>
      <c r="P122" s="35">
        <v>16</v>
      </c>
      <c r="Q122" s="25">
        <v>17</v>
      </c>
      <c r="R122" s="35">
        <v>18</v>
      </c>
      <c r="S122" s="25">
        <v>19</v>
      </c>
      <c r="T122" s="35">
        <v>20</v>
      </c>
      <c r="U122" s="25">
        <v>21</v>
      </c>
      <c r="V122" s="35">
        <v>22</v>
      </c>
      <c r="W122" s="25">
        <v>23</v>
      </c>
      <c r="X122" s="35">
        <v>24</v>
      </c>
      <c r="Y122" s="25">
        <v>25</v>
      </c>
      <c r="Z122" s="35">
        <v>26</v>
      </c>
      <c r="AA122" s="25">
        <v>27</v>
      </c>
      <c r="AB122" s="35">
        <v>28</v>
      </c>
      <c r="AC122" s="25">
        <v>29</v>
      </c>
      <c r="AD122" s="35">
        <v>30</v>
      </c>
      <c r="AE122" s="25">
        <v>31</v>
      </c>
      <c r="AF122" s="35">
        <v>32</v>
      </c>
      <c r="AG122" s="25">
        <v>33</v>
      </c>
      <c r="AH122" s="35">
        <v>34</v>
      </c>
      <c r="AI122" s="25">
        <v>35</v>
      </c>
      <c r="AJ122" s="35">
        <v>36</v>
      </c>
      <c r="AK122" s="25">
        <v>37</v>
      </c>
      <c r="AL122" s="35">
        <v>38</v>
      </c>
      <c r="AM122" s="25">
        <v>39</v>
      </c>
      <c r="AN122" s="35">
        <v>40</v>
      </c>
      <c r="AO122" s="25">
        <v>41</v>
      </c>
      <c r="AP122" s="35">
        <v>42</v>
      </c>
      <c r="AQ122" s="25">
        <v>43</v>
      </c>
      <c r="AR122" s="35">
        <v>44</v>
      </c>
      <c r="AS122" s="25">
        <v>45</v>
      </c>
      <c r="AT122" s="35">
        <v>46</v>
      </c>
      <c r="AU122" s="25">
        <v>47</v>
      </c>
      <c r="AV122" s="35">
        <v>48</v>
      </c>
      <c r="AW122" s="25">
        <v>49</v>
      </c>
      <c r="AX122" s="35">
        <v>50</v>
      </c>
      <c r="AY122" s="25">
        <v>51</v>
      </c>
      <c r="AZ122" s="35">
        <v>52</v>
      </c>
      <c r="BA122" s="25">
        <v>53</v>
      </c>
      <c r="BB122" s="35">
        <v>54</v>
      </c>
      <c r="BC122" s="25">
        <v>55</v>
      </c>
      <c r="BD122" s="35">
        <v>56</v>
      </c>
      <c r="BE122" s="25">
        <v>57</v>
      </c>
      <c r="BF122" s="35">
        <v>58</v>
      </c>
      <c r="BG122" s="25">
        <v>59</v>
      </c>
      <c r="BH122" s="35">
        <v>60</v>
      </c>
      <c r="BI122" s="25">
        <v>61</v>
      </c>
      <c r="BJ122" s="35">
        <v>62</v>
      </c>
      <c r="BK122" s="25">
        <v>63</v>
      </c>
      <c r="BL122" s="35">
        <v>64</v>
      </c>
      <c r="BM122" s="25">
        <v>65</v>
      </c>
      <c r="BN122" s="35">
        <v>66</v>
      </c>
      <c r="BO122" s="25">
        <v>67</v>
      </c>
      <c r="BP122" s="35">
        <v>68</v>
      </c>
      <c r="BQ122" s="25">
        <v>69</v>
      </c>
      <c r="BR122" s="35">
        <v>70</v>
      </c>
      <c r="BS122" s="25">
        <v>71</v>
      </c>
      <c r="BT122" s="35">
        <v>72</v>
      </c>
    </row>
    <row r="124" spans="1:72" x14ac:dyDescent="0.3">
      <c r="B124" s="35">
        <v>1</v>
      </c>
      <c r="C124" s="41">
        <v>2</v>
      </c>
      <c r="D124" s="35">
        <v>3</v>
      </c>
      <c r="E124" s="41">
        <v>4</v>
      </c>
      <c r="F124" s="35">
        <v>5</v>
      </c>
      <c r="G124" s="41">
        <v>6</v>
      </c>
      <c r="H124" s="35">
        <v>7</v>
      </c>
      <c r="I124" s="41">
        <v>8</v>
      </c>
      <c r="J124" s="35">
        <v>9</v>
      </c>
      <c r="K124" s="41">
        <v>10</v>
      </c>
      <c r="L124" s="35">
        <v>11</v>
      </c>
      <c r="M124" s="41">
        <v>12</v>
      </c>
      <c r="N124" s="35">
        <v>13</v>
      </c>
      <c r="O124" s="41">
        <v>14</v>
      </c>
      <c r="P124" s="35">
        <v>15</v>
      </c>
      <c r="Q124" s="41">
        <v>16</v>
      </c>
      <c r="R124" s="35">
        <v>17</v>
      </c>
      <c r="S124" s="41">
        <v>18</v>
      </c>
      <c r="T124" s="35">
        <v>19</v>
      </c>
      <c r="U124" s="41">
        <v>20</v>
      </c>
      <c r="V124" s="35">
        <v>21</v>
      </c>
      <c r="W124" s="41">
        <v>22</v>
      </c>
      <c r="X124" s="35">
        <v>23</v>
      </c>
      <c r="Y124" s="41">
        <v>24</v>
      </c>
      <c r="Z124" s="35">
        <v>25</v>
      </c>
      <c r="AA124" s="41">
        <v>26</v>
      </c>
      <c r="AB124" s="35">
        <v>27</v>
      </c>
      <c r="AC124" s="41">
        <v>28</v>
      </c>
      <c r="AD124" s="35">
        <v>29</v>
      </c>
      <c r="AE124" s="41">
        <v>30</v>
      </c>
      <c r="AF124" s="35">
        <v>31</v>
      </c>
      <c r="AG124" s="41">
        <v>32</v>
      </c>
      <c r="AH124" s="35">
        <v>33</v>
      </c>
      <c r="AI124" s="41">
        <v>34</v>
      </c>
      <c r="AJ124" s="35">
        <v>35</v>
      </c>
      <c r="AK124" s="41">
        <v>36</v>
      </c>
      <c r="AL124" s="35">
        <v>37</v>
      </c>
      <c r="AM124" s="41">
        <v>38</v>
      </c>
      <c r="AN124" s="35">
        <v>39</v>
      </c>
      <c r="AO124" s="41">
        <v>40</v>
      </c>
      <c r="AP124" s="35">
        <v>41</v>
      </c>
      <c r="AQ124" s="41">
        <v>42</v>
      </c>
      <c r="AR124" s="35">
        <v>43</v>
      </c>
      <c r="AS124" s="41">
        <v>44</v>
      </c>
      <c r="AT124" s="35">
        <v>45</v>
      </c>
      <c r="AU124" s="41">
        <v>46</v>
      </c>
      <c r="AV124" s="35">
        <v>47</v>
      </c>
      <c r="AW124" s="41">
        <v>48</v>
      </c>
      <c r="AX124" s="35">
        <v>49</v>
      </c>
      <c r="AY124" s="41">
        <v>50</v>
      </c>
      <c r="AZ124" s="35">
        <v>51</v>
      </c>
      <c r="BA124" s="41">
        <v>52</v>
      </c>
      <c r="BB124" s="35">
        <v>53</v>
      </c>
      <c r="BC124" s="41">
        <v>54</v>
      </c>
      <c r="BD124" s="35">
        <v>55</v>
      </c>
      <c r="BE124" s="41">
        <v>56</v>
      </c>
      <c r="BF124" s="35">
        <v>57</v>
      </c>
      <c r="BG124" s="41">
        <v>58</v>
      </c>
      <c r="BH124" s="35">
        <v>59</v>
      </c>
      <c r="BI124" s="41">
        <v>60</v>
      </c>
      <c r="BJ124" s="35">
        <v>61</v>
      </c>
      <c r="BK124" s="41">
        <v>62</v>
      </c>
      <c r="BL124" s="35">
        <v>63</v>
      </c>
      <c r="BM124" s="41">
        <v>64</v>
      </c>
      <c r="BN124" s="35">
        <v>65</v>
      </c>
      <c r="BO124" s="41">
        <v>66</v>
      </c>
      <c r="BP124" s="35">
        <v>67</v>
      </c>
      <c r="BQ124" s="41">
        <v>68</v>
      </c>
      <c r="BR124" s="35">
        <v>69</v>
      </c>
      <c r="BS124" s="41">
        <v>70</v>
      </c>
      <c r="BT124" s="35">
        <v>71</v>
      </c>
    </row>
  </sheetData>
  <protectedRanges>
    <protectedRange password="C740" sqref="G31 G17:G18" name="mapel_2"/>
    <protectedRange password="C740" sqref="G23" name="mapel_2_1"/>
  </protectedRanges>
  <mergeCells count="8">
    <mergeCell ref="BJ1:BN1"/>
    <mergeCell ref="BO1:BP1"/>
    <mergeCell ref="C1:I1"/>
    <mergeCell ref="J1:L1"/>
    <mergeCell ref="M1:P1"/>
    <mergeCell ref="Q1:T1"/>
    <mergeCell ref="U1:U2"/>
    <mergeCell ref="V1:Y1"/>
  </mergeCells>
  <conditionalFormatting sqref="Z2:BI2">
    <cfRule type="containsText" dxfId="10" priority="1" operator="containsText" text="MP">
      <formula>NOT(ISERROR(SEARCH("MP",Z2)))</formula>
    </cfRule>
    <cfRule type="containsText" dxfId="9" priority="2" operator="containsText" text="DKV">
      <formula>NOT(ISERROR(SEARCH("DKV",Z2)))</formula>
    </cfRule>
    <cfRule type="containsText" dxfId="8" priority="3" operator="containsText" text="TKJ">
      <formula>NOT(ISERROR(SEARCH("TKJ",Z2)))</formula>
    </cfRule>
    <cfRule type="containsText" dxfId="7" priority="4" operator="containsText" text="TKR">
      <formula>NOT(ISERROR(SEARCH("TKR",Z2)))</formula>
    </cfRule>
    <cfRule type="containsText" dxfId="6" priority="5" operator="containsText" text="TEI">
      <formula>NOT(ISERROR(SEARCH("TEI",Z2)))</formula>
    </cfRule>
    <cfRule type="containsText" dxfId="5" priority="6" operator="containsText" text="TPTU">
      <formula>NOT(ISERROR(SEARCH("TPTU",Z2)))</formula>
    </cfRule>
    <cfRule type="containsText" dxfId="4" priority="7" operator="containsText" text="TBSM">
      <formula>NOT(ISERROR(SEARCH("TBSM",Z2)))</formula>
    </cfRule>
    <cfRule type="containsText" dxfId="3" priority="8" operator="containsText" text="TBO">
      <formula>NOT(ISERROR(SEARCH("TBO",Z2)))</formula>
    </cfRule>
    <cfRule type="containsText" dxfId="2" priority="9" operator="containsText" text="TKRO">
      <formula>NOT(ISERROR(SEARCH("TKRO",Z2)))</formula>
    </cfRule>
  </conditionalFormatting>
  <conditionalFormatting sqref="Z3:BI120">
    <cfRule type="notContainsBlanks" dxfId="1" priority="10">
      <formula>LEN(TRIM(Z3))&gt;0</formula>
    </cfRule>
  </conditionalFormatting>
  <conditionalFormatting sqref="D3:D120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Alkhawarizmi</dc:creator>
  <cp:lastModifiedBy>Alkhawarizmi</cp:lastModifiedBy>
  <dcterms:created xsi:type="dcterms:W3CDTF">2026-07-28T13:05:35Z</dcterms:created>
  <dcterms:modified xsi:type="dcterms:W3CDTF">2026-07-28T13:05:51Z</dcterms:modified>
</cp:coreProperties>
</file>